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xampp\htdocs\Fedbacks H1\"/>
    </mc:Choice>
  </mc:AlternateContent>
  <xr:revisionPtr revIDLastSave="0" documentId="13_ncr:1_{A44B7D1F-4697-4D9E-9F8C-C625677C47E9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2" i="1" l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</calcChain>
</file>

<file path=xl/sharedStrings.xml><?xml version="1.0" encoding="utf-8"?>
<sst xmlns="http://schemas.openxmlformats.org/spreadsheetml/2006/main" count="1204" uniqueCount="275">
  <si>
    <t>RUTA</t>
  </si>
  <si>
    <t>SUPERVISOR</t>
  </si>
  <si>
    <t>CONTRATISTA</t>
  </si>
  <si>
    <t>DS0001</t>
  </si>
  <si>
    <t xml:space="preserve">JUAN CARLOS SIBRIAN </t>
  </si>
  <si>
    <t>LC</t>
  </si>
  <si>
    <t>G/C</t>
  </si>
  <si>
    <t>DS0002</t>
  </si>
  <si>
    <t>DS0003</t>
  </si>
  <si>
    <t>BRIAN LAZO</t>
  </si>
  <si>
    <t>FLAVIO LAGUAN</t>
  </si>
  <si>
    <t>DS0004</t>
  </si>
  <si>
    <t>OSCAR CUELLAR</t>
  </si>
  <si>
    <t>JUAN FERNANDEZ</t>
  </si>
  <si>
    <t>DS0006</t>
  </si>
  <si>
    <t>ISAIAS MARIN</t>
  </si>
  <si>
    <t>DS0007</t>
  </si>
  <si>
    <t>VELARMINO MEJIA</t>
  </si>
  <si>
    <t>DS0008</t>
  </si>
  <si>
    <t>DS0009</t>
  </si>
  <si>
    <t>DS000H</t>
  </si>
  <si>
    <t>ALEXANDER SAÑA</t>
  </si>
  <si>
    <t>PAE</t>
  </si>
  <si>
    <t>HOD</t>
  </si>
  <si>
    <t>DS0011</t>
  </si>
  <si>
    <t>DS0012</t>
  </si>
  <si>
    <t>DS0013</t>
  </si>
  <si>
    <t>DS0014</t>
  </si>
  <si>
    <t>DS0015</t>
  </si>
  <si>
    <t>DS0019</t>
  </si>
  <si>
    <t>DS001H</t>
  </si>
  <si>
    <t>DS0020</t>
  </si>
  <si>
    <t>DS0021</t>
  </si>
  <si>
    <t>DS0022</t>
  </si>
  <si>
    <t>DS0023</t>
  </si>
  <si>
    <t>CARLOS MAROQUIN</t>
  </si>
  <si>
    <t>DS0024</t>
  </si>
  <si>
    <t>DS0025</t>
  </si>
  <si>
    <t>DS0027</t>
  </si>
  <si>
    <t>DS0028</t>
  </si>
  <si>
    <t>DS0031</t>
  </si>
  <si>
    <t>DS0032</t>
  </si>
  <si>
    <t>DS0033</t>
  </si>
  <si>
    <t>DS0034</t>
  </si>
  <si>
    <t>DS0035</t>
  </si>
  <si>
    <t>DS0036</t>
  </si>
  <si>
    <t>DS0037</t>
  </si>
  <si>
    <t>DS0038</t>
  </si>
  <si>
    <t>DS0039</t>
  </si>
  <si>
    <t>DS0040</t>
  </si>
  <si>
    <t>DS0041</t>
  </si>
  <si>
    <t>DS0042</t>
  </si>
  <si>
    <t>DS0045</t>
  </si>
  <si>
    <t>DS0046</t>
  </si>
  <si>
    <t>SV-0535A</t>
  </si>
  <si>
    <t>LUIS CAMPOS</t>
  </si>
  <si>
    <t>DS0050</t>
  </si>
  <si>
    <t>DS0054</t>
  </si>
  <si>
    <t>DS0055</t>
  </si>
  <si>
    <t>DS0056</t>
  </si>
  <si>
    <t>DS0058</t>
  </si>
  <si>
    <t>DS0059</t>
  </si>
  <si>
    <t>DS004H</t>
  </si>
  <si>
    <t>DS0061</t>
  </si>
  <si>
    <t>DS0062</t>
  </si>
  <si>
    <t>DS0064</t>
  </si>
  <si>
    <t>SV-0531</t>
  </si>
  <si>
    <t>DS0066</t>
  </si>
  <si>
    <t>DS0067</t>
  </si>
  <si>
    <t>DS0068</t>
  </si>
  <si>
    <t>DS0069</t>
  </si>
  <si>
    <t>DS005H</t>
  </si>
  <si>
    <t>SV-0747</t>
  </si>
  <si>
    <t>C130416</t>
  </si>
  <si>
    <t>DS0074</t>
  </si>
  <si>
    <t>DS0075</t>
  </si>
  <si>
    <t>SV-0475</t>
  </si>
  <si>
    <t>C89736</t>
  </si>
  <si>
    <t>DS0076</t>
  </si>
  <si>
    <t>DS0077</t>
  </si>
  <si>
    <t>DS0078</t>
  </si>
  <si>
    <t>DS0079</t>
  </si>
  <si>
    <t>DS006H</t>
  </si>
  <si>
    <t>DS0081</t>
  </si>
  <si>
    <t>DS0082</t>
  </si>
  <si>
    <t>DS0083</t>
  </si>
  <si>
    <t>DS0084</t>
  </si>
  <si>
    <t>WALTER CLIMACO</t>
  </si>
  <si>
    <t>DS0086</t>
  </si>
  <si>
    <t>DS0088</t>
  </si>
  <si>
    <t>DS0089</t>
  </si>
  <si>
    <t>DS007H</t>
  </si>
  <si>
    <t>DS0090</t>
  </si>
  <si>
    <t>DS0091</t>
  </si>
  <si>
    <t>DS0092</t>
  </si>
  <si>
    <t>DS0095</t>
  </si>
  <si>
    <t>DS0097</t>
  </si>
  <si>
    <t>DS0099</t>
  </si>
  <si>
    <t>DS00A3</t>
  </si>
  <si>
    <t>DS009H</t>
  </si>
  <si>
    <t>DS00B2</t>
  </si>
  <si>
    <t>DS00B4</t>
  </si>
  <si>
    <t>SV-0594</t>
  </si>
  <si>
    <t>C127141</t>
  </si>
  <si>
    <t>DS00B5</t>
  </si>
  <si>
    <t>SV-F030</t>
  </si>
  <si>
    <t>C116026</t>
  </si>
  <si>
    <t>DS00B8</t>
  </si>
  <si>
    <t>SV-0635</t>
  </si>
  <si>
    <t>C73864</t>
  </si>
  <si>
    <t>DS00B9</t>
  </si>
  <si>
    <t>SV-0298I</t>
  </si>
  <si>
    <t>C89297</t>
  </si>
  <si>
    <t>DS00BH</t>
  </si>
  <si>
    <t>SV-F037</t>
  </si>
  <si>
    <t>C130539</t>
  </si>
  <si>
    <t>DS00D3</t>
  </si>
  <si>
    <t>SV-0479</t>
  </si>
  <si>
    <t>DUMMY</t>
  </si>
  <si>
    <t>DS00D4</t>
  </si>
  <si>
    <t>SV-0484</t>
  </si>
  <si>
    <t>DS00D9</t>
  </si>
  <si>
    <t>SV-0357</t>
  </si>
  <si>
    <t>DS00DB</t>
  </si>
  <si>
    <t>SV-0480</t>
  </si>
  <si>
    <t>DS00DC</t>
  </si>
  <si>
    <t>SV-0481</t>
  </si>
  <si>
    <t>DS00DD</t>
  </si>
  <si>
    <t>SV-0399C</t>
  </si>
  <si>
    <t>DS00DE</t>
  </si>
  <si>
    <t>SV-0477</t>
  </si>
  <si>
    <t>C90548</t>
  </si>
  <si>
    <t>DS00DF</t>
  </si>
  <si>
    <t>SV-0385C</t>
  </si>
  <si>
    <t>DS00DG</t>
  </si>
  <si>
    <t>SV-0432</t>
  </si>
  <si>
    <t>DS00DH</t>
  </si>
  <si>
    <t>SV-0468</t>
  </si>
  <si>
    <t>DS00DL</t>
  </si>
  <si>
    <t>SV-3505</t>
  </si>
  <si>
    <t>P42EAF</t>
  </si>
  <si>
    <t>DS00DM</t>
  </si>
  <si>
    <t>SV-3507</t>
  </si>
  <si>
    <t>P42EAC</t>
  </si>
  <si>
    <t>DS00DN</t>
  </si>
  <si>
    <t>SV-0404</t>
  </si>
  <si>
    <t>DS00DR</t>
  </si>
  <si>
    <t>DS00DT</t>
  </si>
  <si>
    <t>SV-0488</t>
  </si>
  <si>
    <t>DS00DV</t>
  </si>
  <si>
    <t>SV-0452</t>
  </si>
  <si>
    <t>DS00DJ</t>
  </si>
  <si>
    <t>SV-0430</t>
  </si>
  <si>
    <t>DS00DW</t>
  </si>
  <si>
    <t>SV-0423</t>
  </si>
  <si>
    <t>DS00CH</t>
  </si>
  <si>
    <t>SV-0394</t>
  </si>
  <si>
    <t>C84948</t>
  </si>
  <si>
    <t>DS00E2</t>
  </si>
  <si>
    <t>DS00E3</t>
  </si>
  <si>
    <t>SV-0598</t>
  </si>
  <si>
    <t>C120526</t>
  </si>
  <si>
    <t>DS00DX</t>
  </si>
  <si>
    <t>DS00DY</t>
  </si>
  <si>
    <t>SV-0535B</t>
  </si>
  <si>
    <t>C130544</t>
  </si>
  <si>
    <t>DS00EH</t>
  </si>
  <si>
    <t>SV-0410</t>
  </si>
  <si>
    <t>C109172</t>
  </si>
  <si>
    <t>DS00FH</t>
  </si>
  <si>
    <t>SV-0387</t>
  </si>
  <si>
    <t>C74432</t>
  </si>
  <si>
    <t>DS00GH</t>
  </si>
  <si>
    <t>SV-0393</t>
  </si>
  <si>
    <t>C82243</t>
  </si>
  <si>
    <t>DS00H0</t>
  </si>
  <si>
    <t>SV-0388</t>
  </si>
  <si>
    <t>C76808</t>
  </si>
  <si>
    <t>DS00H1</t>
  </si>
  <si>
    <t>SV-0391</t>
  </si>
  <si>
    <t>C77207</t>
  </si>
  <si>
    <t>DS00H2</t>
  </si>
  <si>
    <t>SV-0425</t>
  </si>
  <si>
    <t>C63056</t>
  </si>
  <si>
    <t>DS00H4</t>
  </si>
  <si>
    <t>SV-F045</t>
  </si>
  <si>
    <t>C67935</t>
  </si>
  <si>
    <t>DS00H5</t>
  </si>
  <si>
    <t>SV-F044</t>
  </si>
  <si>
    <t>C83377</t>
  </si>
  <si>
    <t>DS00HC</t>
  </si>
  <si>
    <t>SV-0385A</t>
  </si>
  <si>
    <t>DS00H6</t>
  </si>
  <si>
    <t>SV-0298</t>
  </si>
  <si>
    <t>DS00T2</t>
  </si>
  <si>
    <t>SV-F098</t>
  </si>
  <si>
    <t>C122317</t>
  </si>
  <si>
    <t>OSCAR RAMIREZ</t>
  </si>
  <si>
    <t>DS00T4</t>
  </si>
  <si>
    <t>SV-3502</t>
  </si>
  <si>
    <t>P42ECD</t>
  </si>
  <si>
    <t>DS00T6</t>
  </si>
  <si>
    <t>SV-3501</t>
  </si>
  <si>
    <t>P42CAC</t>
  </si>
  <si>
    <t>DS00T7</t>
  </si>
  <si>
    <t>SV-3509</t>
  </si>
  <si>
    <t>P42EBC</t>
  </si>
  <si>
    <t>DS00T8</t>
  </si>
  <si>
    <t>SV-3503</t>
  </si>
  <si>
    <t>DS00U2</t>
  </si>
  <si>
    <t>SV-3504</t>
  </si>
  <si>
    <t>P42EB5</t>
  </si>
  <si>
    <t>DS00U4</t>
  </si>
  <si>
    <t>SV-0357A</t>
  </si>
  <si>
    <t>DS00U9</t>
  </si>
  <si>
    <t>SV-0432A</t>
  </si>
  <si>
    <t>DS00H7</t>
  </si>
  <si>
    <t>SV-0390</t>
  </si>
  <si>
    <t>C77202</t>
  </si>
  <si>
    <t>DS00H9</t>
  </si>
  <si>
    <t>SV-0398</t>
  </si>
  <si>
    <t>C85007</t>
  </si>
  <si>
    <t>SV-0487</t>
  </si>
  <si>
    <t>DS00DQ</t>
  </si>
  <si>
    <t>SV-0471</t>
  </si>
  <si>
    <t>DS00V7</t>
  </si>
  <si>
    <t>SV-0298B</t>
  </si>
  <si>
    <t>DS00U5</t>
  </si>
  <si>
    <t xml:space="preserve"> </t>
  </si>
  <si>
    <t>SERGIO GARCÍA</t>
  </si>
  <si>
    <t>BRYAN GÁLDAMEZ</t>
  </si>
  <si>
    <t>ID Loc</t>
  </si>
  <si>
    <t>Mes dimensionado</t>
  </si>
  <si>
    <t>AÑO</t>
  </si>
  <si>
    <t>Canal</t>
  </si>
  <si>
    <t>Código SAP Proveedor</t>
  </si>
  <si>
    <t>Cantidad de personas en ruta</t>
  </si>
  <si>
    <t>Categoría</t>
  </si>
  <si>
    <t>Territorio fijo</t>
  </si>
  <si>
    <t>Estatus</t>
  </si>
  <si>
    <t>Tipo</t>
  </si>
  <si>
    <t>Localidad</t>
  </si>
  <si>
    <t>DS00</t>
  </si>
  <si>
    <t>LC 1 /PAE 1</t>
  </si>
  <si>
    <t>ILC00</t>
  </si>
  <si>
    <t>GC</t>
  </si>
  <si>
    <t>Activada</t>
  </si>
  <si>
    <t>No Aplica</t>
  </si>
  <si>
    <t>CD Soyapango</t>
  </si>
  <si>
    <t>LA CONSTANCIA LTDA. DE C.V.</t>
  </si>
  <si>
    <t>Contratista</t>
  </si>
  <si>
    <t>W00202</t>
  </si>
  <si>
    <t>FLAVIO ANTONIO LAGUAN MARTINEZ</t>
  </si>
  <si>
    <t>W00153</t>
  </si>
  <si>
    <t>SERGIO ANTONIO GARCIA CORNEJO</t>
  </si>
  <si>
    <t>W00190</t>
  </si>
  <si>
    <t>PEDRO VASQUEZ MARTINEZ</t>
  </si>
  <si>
    <t>W00058</t>
  </si>
  <si>
    <t>VELARMINO MEJIA GARCIA</t>
  </si>
  <si>
    <t>W00205</t>
  </si>
  <si>
    <t>AJ</t>
  </si>
  <si>
    <t>PAE EL SALVADOR, LTDA. DE C.V.</t>
  </si>
  <si>
    <t>W00056</t>
  </si>
  <si>
    <t>JUAN CARLOS FLORES GARCIA</t>
  </si>
  <si>
    <t>LC 1/PAE 2</t>
  </si>
  <si>
    <t>W00070</t>
  </si>
  <si>
    <t>CARLOS ANTONIO MARROQUIN SANCHEZ</t>
  </si>
  <si>
    <t>W00189</t>
  </si>
  <si>
    <t>JUAN ANTONIO FERNANDEZ ALVARADO</t>
  </si>
  <si>
    <t>LC 2/PAE 1</t>
  </si>
  <si>
    <t>DS0044</t>
  </si>
  <si>
    <t>DS00U7</t>
  </si>
  <si>
    <t>DS0051</t>
  </si>
  <si>
    <t>DS0047</t>
  </si>
  <si>
    <t>DS0057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</si>
</sst>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rgb="FFFFFFFF"/>
      <name val="Calibri"/>
      <family val="2"/>
    </font>
    <font>
      <sz val="11"/>
      <color rgb="FF000000"/>
      <name val="Calibri"/>
      <family val="2"/>
      <scheme val="minor"/>
    </font>
    <font>
      <sz val="8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47D359"/>
        <bgColor rgb="FF000000"/>
      </patternFill>
    </fill>
    <fill>
      <patternFill patternType="solid">
        <fgColor rgb="FF000000"/>
        <bgColor rgb="FF000000"/>
      </patternFill>
    </fill>
    <fill>
      <patternFill patternType="solid">
        <fgColor rgb="FFC0E6F5"/>
        <bgColor rgb="FFC0E6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3" fillId="4" borderId="0" xfId="0" applyFont="1" applyFill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3" fillId="0" borderId="0" xfId="0" applyFont="1"/>
  </cellXfs>
  <cellStyles count="1">
    <cellStyle name="Normal" xfId="0" builtinId="0"/>
  </cellStyles>
  <dxfs count="3">
    <dxf>
      <numFmt numFmtId="0" formatCode="General"/>
    </dxf>
    <dxf>
      <font>
        <color rgb="FF9C0006"/>
      </font>
      <fill>
        <patternFill>
          <bgColor rgb="FFFFC7CE"/>
        </patternFill>
      </fill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anheuserbuschinbev-my.sharepoint.com/personal/brian_fuentes_gmodelo_com_mx/Documents/Attachments/Copia%20de%20Rutas%20fijas%20Mayo.xlsx" TargetMode="External"/><Relationship Id="rId1" Type="http://schemas.openxmlformats.org/officeDocument/2006/relationships/externalLinkPath" Target="https://anheuserbuschinbev-my.sharepoint.com/personal/brian_fuentes_gmodelo_com_mx/Documents/Attachments/Copia%20de%20Rutas%20fijas%20May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  <sheetName val="Rutas Fijas MAYO"/>
      <sheetName val="RUTAS X SUP"/>
      <sheetName val="Hoja3"/>
      <sheetName val="Rutas desactivadas"/>
    </sheetNames>
    <sheetDataSet>
      <sheetData sheetId="0"/>
      <sheetData sheetId="1"/>
      <sheetData sheetId="2"/>
      <sheetData sheetId="3">
        <row r="1">
          <cell r="A1" t="str">
            <v>RUTA</v>
          </cell>
          <cell r="E1" t="str">
            <v>SUPERVISOR</v>
          </cell>
        </row>
        <row r="2">
          <cell r="A2" t="str">
            <v>DS0001</v>
          </cell>
          <cell r="E2" t="str">
            <v>JUAN CARLOS RAMIREZ SIBRIAN</v>
          </cell>
        </row>
        <row r="3">
          <cell r="A3" t="str">
            <v>DS0002</v>
          </cell>
          <cell r="E3" t="str">
            <v>JUAN CARLOS RAMIREZ SIBRIAN</v>
          </cell>
        </row>
        <row r="4">
          <cell r="A4" t="str">
            <v>DS0003</v>
          </cell>
          <cell r="E4" t="str">
            <v>KASSANDRA GUADALUPE HERNANDEZ</v>
          </cell>
        </row>
        <row r="5">
          <cell r="A5" t="str">
            <v>DS0004</v>
          </cell>
          <cell r="E5" t="str">
            <v>JUAN CARLOS RAMIREZ SIBRIAN</v>
          </cell>
        </row>
        <row r="6">
          <cell r="A6" t="str">
            <v>DS0005</v>
          </cell>
          <cell r="E6" t="str">
            <v>COORDINACION</v>
          </cell>
        </row>
        <row r="7">
          <cell r="A7" t="str">
            <v>DS0006</v>
          </cell>
          <cell r="E7" t="str">
            <v>ELMER NEFTALI FIGUEROA</v>
          </cell>
        </row>
        <row r="8">
          <cell r="A8" t="str">
            <v>DS0007</v>
          </cell>
          <cell r="E8" t="str">
            <v>BRYAN ADONIS GALDÁMEZ SALAZAR</v>
          </cell>
        </row>
        <row r="9">
          <cell r="A9" t="str">
            <v>DS0008</v>
          </cell>
          <cell r="E9" t="str">
            <v>JUAN CARLOS RAMIREZ SIBRIAN</v>
          </cell>
        </row>
        <row r="10">
          <cell r="A10" t="str">
            <v>DS0009</v>
          </cell>
          <cell r="E10" t="str">
            <v>BRYAN ADONIS GALDÁMEZ SALAZAR</v>
          </cell>
        </row>
        <row r="11">
          <cell r="A11" t="str">
            <v>DS0010</v>
          </cell>
          <cell r="E11" t="str">
            <v>COORDINACION</v>
          </cell>
        </row>
        <row r="12">
          <cell r="A12" t="str">
            <v>DS0011</v>
          </cell>
          <cell r="E12" t="str">
            <v>BRYAN ADONIS GALDÁMEZ SALAZAR</v>
          </cell>
        </row>
        <row r="13">
          <cell r="A13" t="str">
            <v>DS0012</v>
          </cell>
          <cell r="E13" t="str">
            <v>BRYAN ADONIS GALDÁMEZ SALAZAR</v>
          </cell>
        </row>
        <row r="14">
          <cell r="A14" t="str">
            <v>DS0013</v>
          </cell>
          <cell r="E14" t="str">
            <v>ELMER NEFTALI FIGUEROA</v>
          </cell>
        </row>
        <row r="15">
          <cell r="A15" t="str">
            <v>DS0014</v>
          </cell>
          <cell r="E15" t="str">
            <v>JUAN CARLOS RAMIREZ SIBRIAN</v>
          </cell>
        </row>
        <row r="16">
          <cell r="A16" t="str">
            <v>DS0015</v>
          </cell>
          <cell r="E16" t="str">
            <v>ELMER NEFTALI FIGUEROA</v>
          </cell>
        </row>
        <row r="17">
          <cell r="A17" t="str">
            <v>DS0016</v>
          </cell>
          <cell r="E17" t="str">
            <v>COORDINACION</v>
          </cell>
        </row>
        <row r="18">
          <cell r="A18" t="str">
            <v>DS0017</v>
          </cell>
          <cell r="E18" t="str">
            <v>COORDINACION</v>
          </cell>
        </row>
        <row r="19">
          <cell r="A19" t="str">
            <v>DS0018</v>
          </cell>
          <cell r="E19" t="str">
            <v>COORDINACION</v>
          </cell>
        </row>
        <row r="20">
          <cell r="A20" t="str">
            <v>DS0019</v>
          </cell>
          <cell r="E20" t="str">
            <v>KASSANDRA GUADALUPE HERNANDEZ</v>
          </cell>
        </row>
        <row r="21">
          <cell r="A21" t="str">
            <v>DS0020</v>
          </cell>
          <cell r="E21" t="str">
            <v>ELMER NEFTALI FIGUEROA</v>
          </cell>
        </row>
        <row r="22">
          <cell r="A22" t="str">
            <v>DS0021</v>
          </cell>
          <cell r="E22" t="str">
            <v>BRYAN ADONIS GALDÁMEZ SALAZAR</v>
          </cell>
        </row>
        <row r="23">
          <cell r="A23" t="str">
            <v>DS0022</v>
          </cell>
          <cell r="E23" t="str">
            <v>ELMER NEFTALI FIGUEROA</v>
          </cell>
        </row>
        <row r="24">
          <cell r="A24" t="str">
            <v>DS0023</v>
          </cell>
          <cell r="E24" t="str">
            <v>KASSANDRA GUADALUPE HERNANDEZ</v>
          </cell>
        </row>
        <row r="25">
          <cell r="A25" t="str">
            <v>DS0024</v>
          </cell>
          <cell r="E25" t="str">
            <v>BRYAN ADONIS GALDÁMEZ SALAZAR</v>
          </cell>
        </row>
        <row r="26">
          <cell r="A26" t="str">
            <v>DS0025</v>
          </cell>
          <cell r="E26" t="str">
            <v>BRYAN ADONIS GALDÁMEZ SALAZAR</v>
          </cell>
        </row>
        <row r="27">
          <cell r="A27" t="str">
            <v>DS0027</v>
          </cell>
          <cell r="E27" t="str">
            <v>BRYAN ADONIS GALDÁMEZ SALAZAR</v>
          </cell>
        </row>
        <row r="28">
          <cell r="A28" t="str">
            <v>DS0028</v>
          </cell>
          <cell r="E28" t="str">
            <v>BRYAN ADONIS GALDÁMEZ SALAZAR</v>
          </cell>
        </row>
        <row r="29">
          <cell r="A29" t="str">
            <v>DS0029</v>
          </cell>
          <cell r="E29" t="str">
            <v>ELMER NEFTALI FIGUEROA</v>
          </cell>
        </row>
        <row r="30">
          <cell r="A30" t="str">
            <v>DS0030</v>
          </cell>
          <cell r="E30" t="str">
            <v>ELMER NEFTALI FIGUEROA</v>
          </cell>
        </row>
        <row r="31">
          <cell r="A31" t="str">
            <v>DS0031</v>
          </cell>
          <cell r="E31" t="str">
            <v>KASSANDRA GUADALUPE HERNANDEZ</v>
          </cell>
        </row>
        <row r="32">
          <cell r="A32" t="str">
            <v>DS0032</v>
          </cell>
          <cell r="E32" t="str">
            <v>JUAN CARLOS RAMIREZ SIBRIAN</v>
          </cell>
        </row>
        <row r="33">
          <cell r="A33" t="str">
            <v>DS0033</v>
          </cell>
          <cell r="E33" t="str">
            <v>KASSANDRA GUADALUPE HERNANDEZ</v>
          </cell>
        </row>
        <row r="34">
          <cell r="A34" t="str">
            <v>DS0034</v>
          </cell>
          <cell r="E34" t="str">
            <v>KASSANDRA GUADALUPE HERNANDEZ</v>
          </cell>
        </row>
        <row r="35">
          <cell r="A35" t="str">
            <v>DS0035</v>
          </cell>
          <cell r="E35" t="str">
            <v>KASSANDRA GUADALUPE HERNANDEZ</v>
          </cell>
        </row>
        <row r="36">
          <cell r="A36" t="str">
            <v>DS0036</v>
          </cell>
          <cell r="E36" t="str">
            <v>KASSANDRA GUADALUPE HERNANDEZ</v>
          </cell>
        </row>
        <row r="37">
          <cell r="A37" t="str">
            <v>DS0037</v>
          </cell>
          <cell r="E37" t="str">
            <v>BRYAN ADONIS GALDÁMEZ SALAZAR</v>
          </cell>
        </row>
        <row r="38">
          <cell r="A38" t="str">
            <v>DS0038</v>
          </cell>
          <cell r="E38" t="str">
            <v>ELMER NEFTALI FIGUEROA</v>
          </cell>
        </row>
        <row r="39">
          <cell r="A39" t="str">
            <v>DS0039</v>
          </cell>
          <cell r="E39" t="str">
            <v>JUAN CARLOS RAMIREZ SIBRIAN</v>
          </cell>
        </row>
        <row r="40">
          <cell r="A40" t="str">
            <v>DS0040</v>
          </cell>
          <cell r="E40" t="str">
            <v>JUAN CARLOS RAMIREZ SIBRIAN</v>
          </cell>
        </row>
        <row r="41">
          <cell r="A41" t="str">
            <v>DS0041</v>
          </cell>
          <cell r="E41" t="str">
            <v>JUAN CARLOS RAMIREZ SIBRIAN</v>
          </cell>
        </row>
        <row r="42">
          <cell r="A42" t="str">
            <v>DS0042</v>
          </cell>
          <cell r="E42" t="str">
            <v>JUAN CARLOS RAMIREZ SIBRIAN</v>
          </cell>
        </row>
        <row r="43">
          <cell r="A43" t="str">
            <v>DS0045</v>
          </cell>
          <cell r="E43" t="str">
            <v>JUAN CARLOS RAMIREZ SIBRIAN</v>
          </cell>
        </row>
        <row r="44">
          <cell r="A44" t="str">
            <v>DS0046</v>
          </cell>
          <cell r="E44" t="str">
            <v>JUAN CARLOS RAMIREZ SIBRIAN</v>
          </cell>
        </row>
        <row r="45">
          <cell r="A45" t="str">
            <v>DS0047</v>
          </cell>
          <cell r="E45" t="str">
            <v>ELMER NEFTALI FIGUEROA</v>
          </cell>
        </row>
        <row r="46">
          <cell r="A46" t="str">
            <v>DS0048</v>
          </cell>
          <cell r="E46" t="str">
            <v>COORDINACION</v>
          </cell>
        </row>
        <row r="47">
          <cell r="A47" t="str">
            <v>DS0049</v>
          </cell>
          <cell r="E47" t="str">
            <v>COORDINACION</v>
          </cell>
        </row>
        <row r="48">
          <cell r="A48" t="str">
            <v>DS0050</v>
          </cell>
          <cell r="E48" t="str">
            <v>KASSANDRA GUADALUPE HERNANDEZ</v>
          </cell>
        </row>
        <row r="49">
          <cell r="A49" t="str">
            <v>DS0051</v>
          </cell>
          <cell r="E49" t="str">
            <v>BRYAN ADONIS GALDÁMEZ SALAZAR</v>
          </cell>
        </row>
        <row r="50">
          <cell r="A50" t="str">
            <v>DS0053</v>
          </cell>
          <cell r="E50" t="str">
            <v>ELMER NEFTALI FIGUEROA</v>
          </cell>
        </row>
        <row r="51">
          <cell r="A51" t="str">
            <v>DS0054</v>
          </cell>
          <cell r="E51" t="str">
            <v>KASSANDRA GUADALUPE HERNANDEZ</v>
          </cell>
        </row>
        <row r="52">
          <cell r="A52" t="str">
            <v>DS0055</v>
          </cell>
          <cell r="E52" t="str">
            <v>BRYAN ADONIS GALDÁMEZ SALAZAR</v>
          </cell>
        </row>
        <row r="53">
          <cell r="A53" t="str">
            <v>DS0056</v>
          </cell>
          <cell r="E53" t="str">
            <v>JUAN CARLOS RAMIREZ SIBRIAN</v>
          </cell>
        </row>
        <row r="54">
          <cell r="A54" t="str">
            <v>DS0057</v>
          </cell>
          <cell r="E54" t="str">
            <v>ELMER NEFTALI FIGUEROA</v>
          </cell>
        </row>
        <row r="55">
          <cell r="A55" t="str">
            <v>DS0058</v>
          </cell>
          <cell r="E55" t="str">
            <v>ELMER NEFTALI FIGUEROA</v>
          </cell>
        </row>
        <row r="56">
          <cell r="A56" t="str">
            <v>DS0059</v>
          </cell>
          <cell r="E56" t="str">
            <v>ELMER NEFTALI FIGUEROA</v>
          </cell>
        </row>
        <row r="57">
          <cell r="A57" t="str">
            <v>DS0061</v>
          </cell>
          <cell r="E57" t="str">
            <v>KASSANDRA GUADALUPE HERNANDEZ</v>
          </cell>
        </row>
        <row r="58">
          <cell r="A58" t="str">
            <v>DS0062</v>
          </cell>
          <cell r="E58" t="str">
            <v>KASSANDRA GUADALUPE HERNANDEZ</v>
          </cell>
        </row>
        <row r="59">
          <cell r="A59" t="str">
            <v>DS0064</v>
          </cell>
          <cell r="E59" t="str">
            <v>JUAN CARLOS RAMIREZ SIBRIAN</v>
          </cell>
        </row>
        <row r="60">
          <cell r="A60" t="str">
            <v>DS0066</v>
          </cell>
          <cell r="E60" t="str">
            <v>KASSANDRA GUADALUPE HERNANDEZ</v>
          </cell>
        </row>
        <row r="61">
          <cell r="A61" t="str">
            <v>DS0067</v>
          </cell>
          <cell r="E61" t="str">
            <v>ELMER NEFTALI FIGUEROA</v>
          </cell>
        </row>
        <row r="62">
          <cell r="A62" t="str">
            <v>DS0068</v>
          </cell>
          <cell r="E62" t="str">
            <v>JUAN CARLOS RAMIREZ SIBRIAN</v>
          </cell>
        </row>
        <row r="63">
          <cell r="A63" t="str">
            <v>DS0069</v>
          </cell>
          <cell r="E63" t="str">
            <v>JUAN CARLOS RAMIREZ SIBRIAN</v>
          </cell>
        </row>
        <row r="64">
          <cell r="A64" t="str">
            <v>DS0072</v>
          </cell>
          <cell r="E64" t="str">
            <v>COORDINACION</v>
          </cell>
        </row>
        <row r="65">
          <cell r="A65" t="str">
            <v>DS0074</v>
          </cell>
          <cell r="E65" t="str">
            <v>JUAN CARLOS RAMIREZ SIBRIAN</v>
          </cell>
        </row>
        <row r="66">
          <cell r="A66" t="str">
            <v>DS0075</v>
          </cell>
          <cell r="E66" t="str">
            <v>KASSANDRA GUADALUPE HERNANDEZ</v>
          </cell>
        </row>
        <row r="67">
          <cell r="A67" t="str">
            <v>DS0076</v>
          </cell>
          <cell r="E67" t="str">
            <v>KASSANDRA GUADALUPE HERNANDEZ</v>
          </cell>
        </row>
        <row r="68">
          <cell r="A68" t="str">
            <v>DS0077</v>
          </cell>
          <cell r="E68" t="str">
            <v>JUAN CARLOS RAMIREZ SIBRIAN</v>
          </cell>
        </row>
        <row r="69">
          <cell r="A69" t="str">
            <v>DS0078</v>
          </cell>
          <cell r="E69" t="str">
            <v>ELMER NEFTALI FIGUEROA</v>
          </cell>
        </row>
        <row r="70">
          <cell r="A70" t="str">
            <v>DS0079</v>
          </cell>
          <cell r="E70" t="str">
            <v>BRYAN ADONIS GALDÁMEZ SALAZAR</v>
          </cell>
        </row>
        <row r="71">
          <cell r="A71" t="str">
            <v>DS0080</v>
          </cell>
          <cell r="E71" t="str">
            <v>BRYAN ADONIS GALDÁMEZ SALAZAR</v>
          </cell>
        </row>
        <row r="72">
          <cell r="A72" t="str">
            <v>DS0081</v>
          </cell>
          <cell r="E72" t="str">
            <v>BRYAN ADONIS GALDÁMEZ SALAZAR</v>
          </cell>
        </row>
        <row r="73">
          <cell r="A73" t="str">
            <v>DS0082</v>
          </cell>
          <cell r="E73" t="str">
            <v>ELMER NEFTALI FIGUEROA</v>
          </cell>
        </row>
        <row r="74">
          <cell r="A74" t="str">
            <v>DS0083</v>
          </cell>
          <cell r="E74" t="str">
            <v>KASSANDRA GUADALUPE HERNANDEZ</v>
          </cell>
        </row>
        <row r="75">
          <cell r="A75" t="str">
            <v>DS0084</v>
          </cell>
          <cell r="E75" t="str">
            <v>ELMER NEFTALI FIGUEROA</v>
          </cell>
        </row>
        <row r="76">
          <cell r="A76" t="str">
            <v>DS0085</v>
          </cell>
          <cell r="E76" t="str">
            <v>COORDINACION</v>
          </cell>
        </row>
        <row r="77">
          <cell r="A77" t="str">
            <v>DS0086</v>
          </cell>
          <cell r="E77" t="str">
            <v>KASSANDRA GUADALUPE HERNANDEZ</v>
          </cell>
        </row>
        <row r="78">
          <cell r="A78" t="str">
            <v>DS0087</v>
          </cell>
          <cell r="E78" t="str">
            <v>ELMER NEFTALI FIGUEROA</v>
          </cell>
        </row>
        <row r="79">
          <cell r="A79" t="str">
            <v>DS0088</v>
          </cell>
          <cell r="E79" t="str">
            <v>KASSANDRA GUADALUPE HERNANDEZ</v>
          </cell>
        </row>
        <row r="80">
          <cell r="A80" t="str">
            <v>DS0089</v>
          </cell>
          <cell r="E80" t="str">
            <v>BRYAN ADONIS GALDÁMEZ SALAZAR</v>
          </cell>
        </row>
        <row r="81">
          <cell r="A81" t="str">
            <v>DS0090</v>
          </cell>
          <cell r="E81" t="str">
            <v>BRYAN ADONIS GALDÁMEZ SALAZAR</v>
          </cell>
        </row>
        <row r="82">
          <cell r="A82" t="str">
            <v>DS0091</v>
          </cell>
          <cell r="E82" t="str">
            <v>BRYAN ADONIS GALDÁMEZ SALAZAR</v>
          </cell>
        </row>
        <row r="83">
          <cell r="A83" t="str">
            <v>DS0092</v>
          </cell>
          <cell r="E83" t="str">
            <v>JUAN CARLOS RAMIREZ SIBRIAN</v>
          </cell>
        </row>
        <row r="84">
          <cell r="A84" t="str">
            <v>DS0095</v>
          </cell>
          <cell r="E84" t="str">
            <v>BRYAN ADONIS GALDÁMEZ SALAZAR</v>
          </cell>
        </row>
        <row r="85">
          <cell r="A85" t="str">
            <v>DS0096</v>
          </cell>
          <cell r="E85" t="str">
            <v>COORDINACION</v>
          </cell>
        </row>
        <row r="86">
          <cell r="A86" t="str">
            <v>DS0097</v>
          </cell>
          <cell r="E86" t="str">
            <v>ELMER NEFTALI FIGUEROA</v>
          </cell>
        </row>
        <row r="87">
          <cell r="A87" t="str">
            <v>DS0098</v>
          </cell>
          <cell r="E87" t="str">
            <v>ELMER NEFTALI FIGUEROA</v>
          </cell>
        </row>
        <row r="88">
          <cell r="A88" t="str">
            <v>DS0099</v>
          </cell>
          <cell r="E88" t="str">
            <v>BRYAN ADONIS GALDÁMEZ SALAZAR</v>
          </cell>
        </row>
        <row r="89">
          <cell r="A89" t="str">
            <v>DS00A1</v>
          </cell>
          <cell r="E89" t="str">
            <v>COORDINACION</v>
          </cell>
        </row>
        <row r="90">
          <cell r="A90" t="str">
            <v>DS00A2</v>
          </cell>
          <cell r="E90" t="str">
            <v>COORDINACION</v>
          </cell>
        </row>
        <row r="91">
          <cell r="A91" t="str">
            <v>DS00A3</v>
          </cell>
          <cell r="E91" t="str">
            <v>KASSANDRA GUADALUPE HERNANDEZ</v>
          </cell>
        </row>
        <row r="92">
          <cell r="A92" t="str">
            <v>DS00A4</v>
          </cell>
          <cell r="E92" t="str">
            <v>COORDINACION</v>
          </cell>
        </row>
        <row r="93">
          <cell r="A93" t="str">
            <v>DS00A5</v>
          </cell>
          <cell r="E93" t="str">
            <v>ELMER NEFTALI FIGUEROA</v>
          </cell>
        </row>
        <row r="94">
          <cell r="A94" t="str">
            <v>DS00A7</v>
          </cell>
          <cell r="E94" t="str">
            <v>COORDINACION</v>
          </cell>
        </row>
        <row r="95">
          <cell r="A95" t="str">
            <v>DS00A8</v>
          </cell>
          <cell r="E95" t="str">
            <v>COORDINACION</v>
          </cell>
        </row>
        <row r="96">
          <cell r="A96" t="str">
            <v>DS00A9</v>
          </cell>
          <cell r="E96" t="str">
            <v>COORDINACION</v>
          </cell>
        </row>
        <row r="97">
          <cell r="A97" t="str">
            <v>DS00B1</v>
          </cell>
          <cell r="E97" t="str">
            <v>COORDINACION</v>
          </cell>
        </row>
        <row r="98">
          <cell r="A98" t="str">
            <v>DS00B2</v>
          </cell>
          <cell r="E98" t="str">
            <v>JUAN CARLOS RAMIREZ SIBRIAN</v>
          </cell>
        </row>
        <row r="99">
          <cell r="A99" t="str">
            <v>DS00B3</v>
          </cell>
          <cell r="E99" t="str">
            <v>ELMER NEFTALI FIGUEROA</v>
          </cell>
        </row>
        <row r="100">
          <cell r="A100" t="str">
            <v>DS00B4</v>
          </cell>
          <cell r="E100" t="str">
            <v>KASSANDRA GUADALUPE HERNANDEZ</v>
          </cell>
        </row>
        <row r="101">
          <cell r="A101" t="str">
            <v>DS00B5</v>
          </cell>
          <cell r="E101" t="str">
            <v>COORDINACION</v>
          </cell>
        </row>
        <row r="102">
          <cell r="A102" t="str">
            <v>DS00B6</v>
          </cell>
          <cell r="E102" t="str">
            <v>COORDINACION</v>
          </cell>
        </row>
        <row r="103">
          <cell r="A103" t="str">
            <v>DS00B7</v>
          </cell>
          <cell r="E103" t="str">
            <v>COORDINACION</v>
          </cell>
        </row>
        <row r="104">
          <cell r="A104" t="str">
            <v>DS00B8</v>
          </cell>
          <cell r="E104" t="str">
            <v>KASSANDRA GUADALUPE HERNANDEZ</v>
          </cell>
        </row>
        <row r="105">
          <cell r="A105" t="str">
            <v>DS00B9</v>
          </cell>
          <cell r="E105" t="str">
            <v>ELMER NEFTALI FIGUEROA</v>
          </cell>
        </row>
        <row r="106">
          <cell r="A106" t="str">
            <v>DS00D1</v>
          </cell>
          <cell r="E106" t="str">
            <v>COORDINACION</v>
          </cell>
        </row>
        <row r="107">
          <cell r="A107" t="str">
            <v>DS00D2</v>
          </cell>
          <cell r="E107" t="str">
            <v>COORDINACION</v>
          </cell>
        </row>
        <row r="108">
          <cell r="A108" t="str">
            <v>DS00D3</v>
          </cell>
          <cell r="E108" t="str">
            <v>ELMER NEFTALI FIGUEROA</v>
          </cell>
        </row>
        <row r="109">
          <cell r="A109" t="str">
            <v>DS00D4</v>
          </cell>
          <cell r="E109" t="str">
            <v>ELMER NEFTALI FIGUEROA</v>
          </cell>
        </row>
        <row r="110">
          <cell r="A110" t="str">
            <v>DS00D5</v>
          </cell>
          <cell r="E110" t="str">
            <v>COORDINACION</v>
          </cell>
        </row>
        <row r="111">
          <cell r="A111" t="str">
            <v>DS00D6</v>
          </cell>
          <cell r="E111" t="str">
            <v>COORDINACION</v>
          </cell>
        </row>
        <row r="112">
          <cell r="A112" t="str">
            <v>DS00D7</v>
          </cell>
          <cell r="E112" t="str">
            <v>COORDINACION</v>
          </cell>
        </row>
        <row r="113">
          <cell r="A113" t="str">
            <v>DS00D9</v>
          </cell>
          <cell r="E113" t="str">
            <v>ELMER NEFTALI FIGUEROA</v>
          </cell>
        </row>
        <row r="114">
          <cell r="A114" t="str">
            <v>DS00DA</v>
          </cell>
          <cell r="E114" t="str">
            <v>COORDINACION</v>
          </cell>
        </row>
        <row r="115">
          <cell r="A115" t="str">
            <v>DS00DB</v>
          </cell>
          <cell r="E115" t="str">
            <v>COORDINACION</v>
          </cell>
        </row>
        <row r="116">
          <cell r="A116" t="str">
            <v>DS00DC</v>
          </cell>
          <cell r="E116" t="str">
            <v>ELMER NEFTALI FIGUEROA</v>
          </cell>
        </row>
        <row r="117">
          <cell r="A117" t="str">
            <v>DS00DD</v>
          </cell>
          <cell r="E117" t="str">
            <v>ELMER NEFTALI FIGUEROA</v>
          </cell>
        </row>
        <row r="118">
          <cell r="A118" t="str">
            <v>DS00DE</v>
          </cell>
          <cell r="E118" t="str">
            <v>ELMER NEFTALI FIGUEROA</v>
          </cell>
        </row>
        <row r="119">
          <cell r="A119" t="str">
            <v>DS00DF</v>
          </cell>
          <cell r="E119" t="str">
            <v>COORDINACION</v>
          </cell>
        </row>
        <row r="120">
          <cell r="A120" t="str">
            <v>DS00DG</v>
          </cell>
          <cell r="E120" t="str">
            <v>BRYAN ADONIS GALDÁMEZ SALAZAR</v>
          </cell>
        </row>
        <row r="121">
          <cell r="A121" t="str">
            <v>DS00DH</v>
          </cell>
          <cell r="E121" t="str">
            <v>COORDINACION</v>
          </cell>
        </row>
        <row r="122">
          <cell r="A122" t="str">
            <v>DS00DJ</v>
          </cell>
          <cell r="E122" t="str">
            <v>ELMER NEFTALI FIGUEROA</v>
          </cell>
        </row>
        <row r="123">
          <cell r="A123" t="str">
            <v>DS00DK</v>
          </cell>
          <cell r="E123" t="str">
            <v>KASSANDRA GUADALUPE HERNANDEZ</v>
          </cell>
        </row>
        <row r="124">
          <cell r="A124" t="str">
            <v>DS00DL</v>
          </cell>
          <cell r="E124" t="str">
            <v>COORDINACION</v>
          </cell>
        </row>
        <row r="125">
          <cell r="A125" t="str">
            <v>DS00DM</v>
          </cell>
          <cell r="E125" t="str">
            <v>JUAN CARLOS RAMIREZ SIBRIAN</v>
          </cell>
        </row>
        <row r="126">
          <cell r="A126" t="str">
            <v>DS00DN</v>
          </cell>
          <cell r="E126" t="str">
            <v>JUAN CARLOS RAMIREZ SIBRIAN</v>
          </cell>
        </row>
        <row r="127">
          <cell r="A127" t="str">
            <v>DS00DP</v>
          </cell>
          <cell r="E127" t="str">
            <v>COORDINACION</v>
          </cell>
        </row>
        <row r="128">
          <cell r="A128" t="str">
            <v>DS00DQ</v>
          </cell>
          <cell r="E128" t="str">
            <v>COORDINACION</v>
          </cell>
        </row>
        <row r="129">
          <cell r="A129" t="str">
            <v>DS00DR</v>
          </cell>
          <cell r="E129" t="str">
            <v>COORDINACION</v>
          </cell>
        </row>
        <row r="130">
          <cell r="A130" t="str">
            <v>DS00DS</v>
          </cell>
          <cell r="E130" t="str">
            <v>ELMER NEFTALI FIGUEROA</v>
          </cell>
        </row>
        <row r="131">
          <cell r="A131" t="str">
            <v>DS00DT</v>
          </cell>
          <cell r="E131" t="str">
            <v>COORDINACION</v>
          </cell>
        </row>
        <row r="132">
          <cell r="A132" t="str">
            <v>DS00DU</v>
          </cell>
          <cell r="E132" t="str">
            <v>ELMER NEFTALI FIGUEROA</v>
          </cell>
        </row>
        <row r="133">
          <cell r="A133" t="str">
            <v>DS00DV</v>
          </cell>
          <cell r="E133" t="str">
            <v>JUAN CARLOS RAMIREZ SIBRIAN</v>
          </cell>
        </row>
        <row r="134">
          <cell r="A134" t="str">
            <v>DS00DW</v>
          </cell>
          <cell r="E134" t="str">
            <v>BRYAN ADONIS GALDÁMEZ SALAZAR</v>
          </cell>
        </row>
        <row r="135">
          <cell r="A135" t="str">
            <v>DS00E2</v>
          </cell>
          <cell r="E135" t="str">
            <v>COORDINACION</v>
          </cell>
        </row>
        <row r="136">
          <cell r="A136" t="str">
            <v>DS00E3</v>
          </cell>
          <cell r="E136" t="str">
            <v>COORDINACION</v>
          </cell>
        </row>
        <row r="137">
          <cell r="A137" t="str">
            <v>DS00G1</v>
          </cell>
          <cell r="E137" t="str">
            <v>COORDINACION</v>
          </cell>
        </row>
        <row r="138">
          <cell r="A138" t="str">
            <v>DS00G2</v>
          </cell>
          <cell r="E138" t="str">
            <v>COORDINACION</v>
          </cell>
        </row>
        <row r="139">
          <cell r="A139" t="str">
            <v>DS00G3</v>
          </cell>
          <cell r="E139" t="str">
            <v>COORDINACION</v>
          </cell>
        </row>
        <row r="140">
          <cell r="A140" t="str">
            <v>DS00G4</v>
          </cell>
          <cell r="E140" t="str">
            <v>COORDINACION</v>
          </cell>
        </row>
        <row r="141">
          <cell r="A141" t="str">
            <v>DS00IA</v>
          </cell>
          <cell r="E141" t="str">
            <v>COORDINACION</v>
          </cell>
        </row>
        <row r="142">
          <cell r="A142" t="str">
            <v>DS00IB</v>
          </cell>
          <cell r="E142" t="str">
            <v>COORDINACION</v>
          </cell>
        </row>
        <row r="143">
          <cell r="A143" t="str">
            <v>DS00IC</v>
          </cell>
          <cell r="E143" t="str">
            <v>COORDINACION</v>
          </cell>
        </row>
        <row r="144">
          <cell r="A144" t="str">
            <v>DS00ID</v>
          </cell>
          <cell r="E144" t="str">
            <v>COORDINACION</v>
          </cell>
        </row>
        <row r="145">
          <cell r="A145" t="str">
            <v>DS00IE</v>
          </cell>
          <cell r="E145" t="str">
            <v>COORDINACION</v>
          </cell>
        </row>
        <row r="146">
          <cell r="A146" t="str">
            <v>DS00IF</v>
          </cell>
          <cell r="E146" t="str">
            <v>COORDINACION</v>
          </cell>
        </row>
        <row r="147">
          <cell r="A147" t="str">
            <v>DS00IG</v>
          </cell>
          <cell r="E147" t="str">
            <v>COORDINACION</v>
          </cell>
        </row>
        <row r="148">
          <cell r="A148" t="str">
            <v>DS00IJ</v>
          </cell>
          <cell r="E148" t="str">
            <v>COORDINACION</v>
          </cell>
        </row>
        <row r="149">
          <cell r="A149" t="str">
            <v>DS00IK</v>
          </cell>
          <cell r="E149" t="str">
            <v>COORDINACION</v>
          </cell>
        </row>
        <row r="150">
          <cell r="A150" t="str">
            <v>DS00IL</v>
          </cell>
          <cell r="E150" t="str">
            <v>COORDINACION</v>
          </cell>
        </row>
        <row r="151">
          <cell r="A151" t="str">
            <v>DS00IM</v>
          </cell>
          <cell r="E151" t="str">
            <v>COORDINACION</v>
          </cell>
        </row>
        <row r="152">
          <cell r="A152" t="str">
            <v>DS00IN</v>
          </cell>
          <cell r="E152" t="str">
            <v>COORDINACION</v>
          </cell>
        </row>
        <row r="153">
          <cell r="A153" t="str">
            <v>DS00T1</v>
          </cell>
          <cell r="E153" t="str">
            <v>COORDINACION</v>
          </cell>
        </row>
        <row r="154">
          <cell r="A154" t="str">
            <v>DS00T2</v>
          </cell>
          <cell r="E154" t="str">
            <v>COORDINACION</v>
          </cell>
        </row>
        <row r="155">
          <cell r="A155" t="str">
            <v>DS00T4</v>
          </cell>
          <cell r="E155" t="str">
            <v>COORDINACION</v>
          </cell>
        </row>
        <row r="156">
          <cell r="A156" t="str">
            <v>DS00T5</v>
          </cell>
          <cell r="E156" t="str">
            <v>COORDINACION</v>
          </cell>
        </row>
        <row r="157">
          <cell r="A157" t="str">
            <v>DS00T6</v>
          </cell>
          <cell r="E157" t="str">
            <v>KASSANDRA GUADALUPE HERNANDEZ</v>
          </cell>
        </row>
        <row r="158">
          <cell r="A158" t="str">
            <v>DS00T7</v>
          </cell>
          <cell r="E158" t="str">
            <v>ELMER NEFTALI FIGUEROA</v>
          </cell>
        </row>
        <row r="159">
          <cell r="A159" t="str">
            <v>DS00T8</v>
          </cell>
          <cell r="E159" t="str">
            <v>COORDINACION</v>
          </cell>
        </row>
        <row r="160">
          <cell r="A160" t="str">
            <v>DS00T9</v>
          </cell>
          <cell r="E160" t="str">
            <v>COORDINACION</v>
          </cell>
        </row>
        <row r="161">
          <cell r="A161" t="str">
            <v>DS00U2</v>
          </cell>
          <cell r="E161" t="str">
            <v>BRYAN ADONIS GALDÁMEZ SALAZAR</v>
          </cell>
        </row>
        <row r="162">
          <cell r="A162" t="str">
            <v>DS00U4</v>
          </cell>
          <cell r="E162" t="str">
            <v>COORDINACION</v>
          </cell>
        </row>
        <row r="163">
          <cell r="A163" t="str">
            <v>DS00U5</v>
          </cell>
          <cell r="E163" t="str">
            <v>JUAN CARLOS RAMIREZ SIBRIAN</v>
          </cell>
        </row>
        <row r="164">
          <cell r="A164" t="str">
            <v>DS00U7</v>
          </cell>
          <cell r="E164" t="str">
            <v>JUAN CARLOS RAMIREZ SIBRIAN</v>
          </cell>
        </row>
        <row r="165">
          <cell r="A165" t="str">
            <v>DS00U9</v>
          </cell>
          <cell r="E165" t="str">
            <v>COORDINACION</v>
          </cell>
        </row>
        <row r="166">
          <cell r="A166" t="str">
            <v>DS00V1</v>
          </cell>
          <cell r="E166" t="str">
            <v>COORDINACION</v>
          </cell>
        </row>
        <row r="167">
          <cell r="A167" t="str">
            <v>DS00V2</v>
          </cell>
          <cell r="E167" t="str">
            <v>COORDINACION</v>
          </cell>
        </row>
        <row r="168">
          <cell r="A168" t="str">
            <v>DS00V3</v>
          </cell>
          <cell r="E168" t="str">
            <v>COORDINACION</v>
          </cell>
        </row>
        <row r="169">
          <cell r="A169" t="str">
            <v>DS00V4</v>
          </cell>
          <cell r="E169" t="str">
            <v>COORDINACION</v>
          </cell>
        </row>
        <row r="170">
          <cell r="A170" t="str">
            <v>DS00V5</v>
          </cell>
          <cell r="E170" t="str">
            <v>ELMER NEFTALI FIGUEROA</v>
          </cell>
        </row>
        <row r="171">
          <cell r="A171" t="str">
            <v>DS00V6</v>
          </cell>
          <cell r="E171" t="str">
            <v>COORDINACION</v>
          </cell>
        </row>
        <row r="172">
          <cell r="A172" t="str">
            <v>DS00V7</v>
          </cell>
          <cell r="E172" t="str">
            <v>COORDINACION</v>
          </cell>
        </row>
        <row r="173">
          <cell r="A173" t="str">
            <v>DS00V8</v>
          </cell>
          <cell r="E173" t="str">
            <v>COORDINACION</v>
          </cell>
        </row>
        <row r="174">
          <cell r="A174" t="str">
            <v>DS00V9</v>
          </cell>
          <cell r="E174" t="str">
            <v>COORDINACION</v>
          </cell>
        </row>
        <row r="175">
          <cell r="A175" t="str">
            <v>DS00A6</v>
          </cell>
          <cell r="E175" t="str">
            <v>ELMER NEFTALI FIGUEROA</v>
          </cell>
        </row>
        <row r="176">
          <cell r="A176" t="str">
            <v>DS0044</v>
          </cell>
          <cell r="E176" t="str">
            <v>JUAN CARLOS RAMIREZ SIBRIAN</v>
          </cell>
        </row>
        <row r="177">
          <cell r="A177" t="str">
            <v>DS000H</v>
          </cell>
          <cell r="E177" t="str">
            <v>JOSE ALEXANDER GARCIA SAÑA</v>
          </cell>
        </row>
        <row r="178">
          <cell r="A178" t="str">
            <v>DS001H</v>
          </cell>
          <cell r="E178" t="str">
            <v>JOSE ALEXANDER GARCIA SAÑA</v>
          </cell>
        </row>
        <row r="179">
          <cell r="A179" t="str">
            <v>DS004H</v>
          </cell>
          <cell r="E179" t="str">
            <v>JOSE ALEXANDER GARCIA SAÑA</v>
          </cell>
        </row>
        <row r="180">
          <cell r="A180" t="str">
            <v>DS005H</v>
          </cell>
          <cell r="E180" t="str">
            <v>JOSE ALEXANDER GARCIA SAÑA</v>
          </cell>
        </row>
        <row r="181">
          <cell r="A181" t="str">
            <v>DS006H</v>
          </cell>
          <cell r="E181" t="str">
            <v>JOSE ALEXANDER GARCIA SAÑA</v>
          </cell>
        </row>
        <row r="182">
          <cell r="A182" t="str">
            <v>DS007H</v>
          </cell>
          <cell r="E182" t="str">
            <v>JOSE ALEXANDER GARCIA SAÑA</v>
          </cell>
        </row>
        <row r="183">
          <cell r="A183" t="str">
            <v>DS009H</v>
          </cell>
          <cell r="E183" t="str">
            <v>JOSE ALEXANDER GARCIA SAÑA</v>
          </cell>
        </row>
        <row r="184">
          <cell r="A184" t="str">
            <v>DS00CH</v>
          </cell>
          <cell r="E184" t="str">
            <v>JOSE ALEXANDER GARCIA SAÑA</v>
          </cell>
        </row>
        <row r="185">
          <cell r="A185" t="str">
            <v>DS00EH</v>
          </cell>
          <cell r="E185" t="str">
            <v>JOSE ALEXANDER GARCIA SAÑA</v>
          </cell>
        </row>
        <row r="186">
          <cell r="A186" t="str">
            <v>DS00FH</v>
          </cell>
          <cell r="E186" t="str">
            <v>JOSE ALEXANDER GARCIA SAÑA</v>
          </cell>
        </row>
        <row r="187">
          <cell r="A187" t="str">
            <v>DS00GH</v>
          </cell>
          <cell r="E187" t="str">
            <v>JOSE ALEXANDER GARCIA SAÑA</v>
          </cell>
        </row>
        <row r="188">
          <cell r="A188" t="str">
            <v>DS00H0</v>
          </cell>
          <cell r="E188" t="str">
            <v>JOSE ALEXANDER GARCIA SAÑA</v>
          </cell>
        </row>
        <row r="189">
          <cell r="A189" t="str">
            <v>DS00H9</v>
          </cell>
          <cell r="E189" t="str">
            <v>JOSE ALEXANDER GARCIA SAÑA</v>
          </cell>
        </row>
        <row r="190">
          <cell r="A190" t="str">
            <v>DS00H7</v>
          </cell>
          <cell r="E190" t="str">
            <v>JOSE ALEXANDER GARCIA SAÑA</v>
          </cell>
        </row>
        <row r="191">
          <cell r="A191" t="str">
            <v>DS00EH</v>
          </cell>
          <cell r="E191" t="str">
            <v>JOSE ALEXANDER GARCIA SAÑA</v>
          </cell>
        </row>
        <row r="192">
          <cell r="A192" t="str">
            <v>DS00H1</v>
          </cell>
          <cell r="E192" t="str">
            <v>COORDINACION</v>
          </cell>
        </row>
        <row r="193">
          <cell r="A193" t="str">
            <v>DS00HC</v>
          </cell>
          <cell r="E193" t="str">
            <v>JOSE ALEXANDER GARCIA SAÑA</v>
          </cell>
        </row>
        <row r="194">
          <cell r="A194" t="str">
            <v>DS00DX</v>
          </cell>
          <cell r="E194" t="str">
            <v>JOSE ALEXANDER GARCIA SAÑA</v>
          </cell>
        </row>
        <row r="195">
          <cell r="A195" t="str">
            <v>DS00DY</v>
          </cell>
          <cell r="E195" t="str">
            <v>JOSE ALEXANDER GARCIA SAÑA</v>
          </cell>
        </row>
        <row r="196">
          <cell r="A196" t="str">
            <v>DS00H4</v>
          </cell>
          <cell r="E196" t="str">
            <v>JOSE ALEXANDER GARCIA SAÑA</v>
          </cell>
        </row>
        <row r="197">
          <cell r="A197" t="str">
            <v>DS00H2</v>
          </cell>
          <cell r="E197" t="str">
            <v>JOSE ALEXANDER GARCIA SAÑA</v>
          </cell>
        </row>
        <row r="198">
          <cell r="A198" t="str">
            <v>DS00H8</v>
          </cell>
          <cell r="E198" t="str">
            <v>JOSE ALEXANDER GARCIA SAÑA</v>
          </cell>
        </row>
      </sheetData>
      <sheetData sheetId="4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77E348F-D8E6-4A65-830F-4E92A9C7A497}" name="Table2" displayName="Table2" ref="A1:N171" totalsRowShown="0">
  <autoFilter ref="A1:N171" xr:uid="{F77E348F-D8E6-4A65-830F-4E92A9C7A497}"/>
  <tableColumns count="14">
    <tableColumn id="1" xr3:uid="{2116987D-B611-43E6-A00A-B1AAB9A17787}" name="ID Loc" dataDxfId="2"/>
    <tableColumn id="2" xr3:uid="{9B455927-9740-4DC5-818B-C0B4E45D2FFC}" name="Mes dimensionado"/>
    <tableColumn id="3" xr3:uid="{7AD54620-5CBF-4CE6-85B0-CACD6A1B8802}" name="AÑO"/>
    <tableColumn id="4" xr3:uid="{4BC9AA7B-C5FF-4931-A398-E7C37D480B20}" name="Canal"/>
    <tableColumn id="5" xr3:uid="{4A5692E8-33E5-48B8-87CF-AA6B1673BE16}" name="Código SAP Proveedor"/>
    <tableColumn id="6" xr3:uid="{383C5786-4214-4AC9-A52F-6E8578A3B15B}" name="Cantidad de personas en ruta"/>
    <tableColumn id="7" xr3:uid="{B8DD650F-4AC2-4EC0-A353-8FBD26835C5B}" name="RUTA"/>
    <tableColumn id="8" xr3:uid="{4F19C787-1E1C-451E-8F62-29DE6866AF67}" name="Categoría"/>
    <tableColumn id="9" xr3:uid="{49FA5A02-4DC8-4AA4-B5C5-1E586B906E03}" name="Territorio fijo"/>
    <tableColumn id="10" xr3:uid="{87C79D38-38C0-4722-B64F-505D64F7CBF7}" name="Estatus"/>
    <tableColumn id="11" xr3:uid="{BD73803E-6BD1-4D2D-886A-D692D37E4CB7}" name="Tipo"/>
    <tableColumn id="12" xr3:uid="{519E2790-5D1C-45D5-9DA0-4657FE4892C3}" name="Localidad"/>
    <tableColumn id="13" xr3:uid="{6DFB9B28-9CDE-4A49-9B2C-3010A2DC6621}" name="CONTRATISTA"/>
    <tableColumn id="14" xr3:uid="{AEFBCB62-504D-449B-A778-C6D1DDFA091D}" name="SUPERVISOR" dataDxfId="0">
      <calculatedColumnFormula>_xlfn.XLOOKUP(G2,[1]Hoja3!A:A,[1]Hoja3!E:E)</calculatedColumnFormula>
    </tableColumn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71"/>
  <sheetViews>
    <sheetView tabSelected="1" workbookViewId="0">
      <selection sqref="A1:N101"/>
    </sheetView>
  </sheetViews>
  <sheetFormatPr baseColWidth="10" defaultColWidth="8.7265625" defaultRowHeight="14.5" x14ac:dyDescent="0.35"/>
  <cols>
    <col min="2" max="2" width="9.7265625" customWidth="1"/>
    <col min="4" max="4" width="19.81640625" bestFit="1" customWidth="1"/>
    <col min="5" max="5" width="18.453125" bestFit="1" customWidth="1"/>
  </cols>
  <sheetData>
    <row r="1" spans="1:14" ht="48" x14ac:dyDescent="0.35">
      <c r="A1" s="2" t="s">
        <v>231</v>
      </c>
      <c r="B1" s="2" t="s">
        <v>232</v>
      </c>
      <c r="C1" s="2" t="s">
        <v>233</v>
      </c>
      <c r="D1" s="2" t="s">
        <v>234</v>
      </c>
      <c r="E1" s="2" t="s">
        <v>235</v>
      </c>
      <c r="F1" s="2" t="s">
        <v>236</v>
      </c>
      <c r="G1" s="2" t="s">
        <v>0</v>
      </c>
      <c r="H1" s="2" t="s">
        <v>237</v>
      </c>
      <c r="I1" s="2" t="s">
        <v>238</v>
      </c>
      <c r="J1" s="2" t="s">
        <v>239</v>
      </c>
      <c r="K1" s="2" t="s">
        <v>240</v>
      </c>
      <c r="L1" s="3" t="s">
        <v>241</v>
      </c>
      <c r="M1" s="3" t="s">
        <v>2</v>
      </c>
      <c r="N1" s="2" t="s">
        <v>1</v>
      </c>
    </row>
    <row r="2" spans="1:14" x14ac:dyDescent="0.35">
      <c r="A2" s="4" t="s">
        <v>242</v>
      </c>
      <c r="B2" s="4">
        <v>5</v>
      </c>
      <c r="C2" s="4">
        <v>2026</v>
      </c>
      <c r="D2" s="5" t="s">
        <v>243</v>
      </c>
      <c r="E2" s="5" t="s">
        <v>244</v>
      </c>
      <c r="F2" s="5">
        <v>2</v>
      </c>
      <c r="G2" s="5" t="s">
        <v>3</v>
      </c>
      <c r="H2" s="5" t="s">
        <v>245</v>
      </c>
      <c r="I2" s="5"/>
      <c r="J2" s="5" t="s">
        <v>246</v>
      </c>
      <c r="K2" s="5" t="s">
        <v>247</v>
      </c>
      <c r="L2" s="6" t="s">
        <v>248</v>
      </c>
      <c r="M2" s="6" t="s">
        <v>249</v>
      </c>
      <c r="N2" t="str">
        <f>_xlfn.XLOOKUP(G2,[1]Hoja3!A:A,[1]Hoja3!E:E)</f>
        <v>JUAN CARLOS RAMIREZ SIBRIAN</v>
      </c>
    </row>
    <row r="3" spans="1:14" x14ac:dyDescent="0.35">
      <c r="A3" s="7" t="s">
        <v>242</v>
      </c>
      <c r="B3" s="4">
        <v>5</v>
      </c>
      <c r="C3" s="7">
        <v>2026</v>
      </c>
      <c r="D3" s="8" t="s">
        <v>243</v>
      </c>
      <c r="E3" s="8" t="s">
        <v>244</v>
      </c>
      <c r="F3" s="8">
        <v>2</v>
      </c>
      <c r="G3" s="8" t="s">
        <v>7</v>
      </c>
      <c r="H3" s="8" t="s">
        <v>245</v>
      </c>
      <c r="I3" s="8"/>
      <c r="J3" s="8" t="s">
        <v>246</v>
      </c>
      <c r="K3" s="8" t="s">
        <v>247</v>
      </c>
      <c r="L3" s="9" t="s">
        <v>248</v>
      </c>
      <c r="M3" s="9" t="s">
        <v>249</v>
      </c>
      <c r="N3" t="str">
        <f>_xlfn.XLOOKUP(G3,[1]Hoja3!A:A,[1]Hoja3!E:E)</f>
        <v>JUAN CARLOS RAMIREZ SIBRIAN</v>
      </c>
    </row>
    <row r="4" spans="1:14" x14ac:dyDescent="0.35">
      <c r="A4" s="4" t="s">
        <v>242</v>
      </c>
      <c r="B4" s="4">
        <v>5</v>
      </c>
      <c r="C4" s="4">
        <v>2026</v>
      </c>
      <c r="D4" s="5" t="s">
        <v>250</v>
      </c>
      <c r="E4" s="5" t="s">
        <v>251</v>
      </c>
      <c r="F4" s="5">
        <v>3</v>
      </c>
      <c r="G4" s="5" t="s">
        <v>8</v>
      </c>
      <c r="H4" s="5" t="s">
        <v>245</v>
      </c>
      <c r="I4" s="5"/>
      <c r="J4" s="5" t="s">
        <v>246</v>
      </c>
      <c r="K4" s="5" t="s">
        <v>247</v>
      </c>
      <c r="L4" s="6" t="s">
        <v>248</v>
      </c>
      <c r="M4" s="6" t="s">
        <v>252</v>
      </c>
      <c r="N4" t="str">
        <f>_xlfn.XLOOKUP(G4,[1]Hoja3!A:A,[1]Hoja3!E:E)</f>
        <v>KASSANDRA GUADALUPE HERNANDEZ</v>
      </c>
    </row>
    <row r="5" spans="1:14" x14ac:dyDescent="0.35">
      <c r="A5" s="7" t="s">
        <v>242</v>
      </c>
      <c r="B5" s="4">
        <v>5</v>
      </c>
      <c r="C5" s="7">
        <v>2026</v>
      </c>
      <c r="D5" s="8" t="s">
        <v>250</v>
      </c>
      <c r="E5" s="8" t="s">
        <v>253</v>
      </c>
      <c r="F5" s="8">
        <v>3</v>
      </c>
      <c r="G5" s="8" t="s">
        <v>11</v>
      </c>
      <c r="H5" s="8" t="s">
        <v>245</v>
      </c>
      <c r="I5" s="8"/>
      <c r="J5" s="8" t="s">
        <v>246</v>
      </c>
      <c r="K5" s="8" t="s">
        <v>247</v>
      </c>
      <c r="L5" s="9" t="s">
        <v>248</v>
      </c>
      <c r="M5" s="9" t="s">
        <v>254</v>
      </c>
      <c r="N5" t="str">
        <f>_xlfn.XLOOKUP(G5,[1]Hoja3!A:A,[1]Hoja3!E:E)</f>
        <v>JUAN CARLOS RAMIREZ SIBRIAN</v>
      </c>
    </row>
    <row r="6" spans="1:14" x14ac:dyDescent="0.35">
      <c r="A6" s="4" t="s">
        <v>242</v>
      </c>
      <c r="B6" s="4">
        <v>5</v>
      </c>
      <c r="C6" s="4">
        <v>2026</v>
      </c>
      <c r="D6" s="5" t="s">
        <v>250</v>
      </c>
      <c r="E6" s="5" t="s">
        <v>255</v>
      </c>
      <c r="F6" s="5">
        <v>2</v>
      </c>
      <c r="G6" s="5" t="s">
        <v>14</v>
      </c>
      <c r="H6" s="5" t="s">
        <v>245</v>
      </c>
      <c r="I6" s="5"/>
      <c r="J6" s="5" t="s">
        <v>246</v>
      </c>
      <c r="K6" s="5" t="s">
        <v>247</v>
      </c>
      <c r="L6" s="6" t="s">
        <v>248</v>
      </c>
      <c r="M6" s="6" t="s">
        <v>256</v>
      </c>
      <c r="N6" t="str">
        <f>_xlfn.XLOOKUP(G6,[1]Hoja3!A:A,[1]Hoja3!E:E)</f>
        <v>ELMER NEFTALI FIGUEROA</v>
      </c>
    </row>
    <row r="7" spans="1:14" x14ac:dyDescent="0.35">
      <c r="A7" s="7" t="s">
        <v>242</v>
      </c>
      <c r="B7" s="4">
        <v>5</v>
      </c>
      <c r="C7" s="7">
        <v>2026</v>
      </c>
      <c r="D7" s="8" t="s">
        <v>250</v>
      </c>
      <c r="E7" s="8" t="s">
        <v>257</v>
      </c>
      <c r="F7" s="8">
        <v>2</v>
      </c>
      <c r="G7" s="8" t="s">
        <v>16</v>
      </c>
      <c r="H7" s="8" t="s">
        <v>245</v>
      </c>
      <c r="I7" s="8"/>
      <c r="J7" s="8" t="s">
        <v>246</v>
      </c>
      <c r="K7" s="8" t="s">
        <v>247</v>
      </c>
      <c r="L7" s="9" t="s">
        <v>248</v>
      </c>
      <c r="M7" s="9" t="s">
        <v>258</v>
      </c>
      <c r="N7" t="str">
        <f>_xlfn.XLOOKUP(G7,[1]Hoja3!A:A,[1]Hoja3!E:E)</f>
        <v>BRYAN ADONIS GALDÁMEZ SALAZAR</v>
      </c>
    </row>
    <row r="8" spans="1:14" x14ac:dyDescent="0.35">
      <c r="A8" s="4" t="s">
        <v>242</v>
      </c>
      <c r="B8" s="4">
        <v>5</v>
      </c>
      <c r="C8" s="4">
        <v>2026</v>
      </c>
      <c r="D8" s="5" t="s">
        <v>250</v>
      </c>
      <c r="E8" s="5" t="s">
        <v>253</v>
      </c>
      <c r="F8" s="5">
        <v>3</v>
      </c>
      <c r="G8" s="5" t="s">
        <v>18</v>
      </c>
      <c r="H8" s="5" t="s">
        <v>245</v>
      </c>
      <c r="I8" s="5"/>
      <c r="J8" s="5" t="s">
        <v>246</v>
      </c>
      <c r="K8" s="5" t="s">
        <v>247</v>
      </c>
      <c r="L8" s="6" t="s">
        <v>248</v>
      </c>
      <c r="M8" s="6" t="s">
        <v>254</v>
      </c>
      <c r="N8" t="str">
        <f>_xlfn.XLOOKUP(G8,[1]Hoja3!A:A,[1]Hoja3!E:E)</f>
        <v>JUAN CARLOS RAMIREZ SIBRIAN</v>
      </c>
    </row>
    <row r="9" spans="1:14" x14ac:dyDescent="0.35">
      <c r="A9" s="7" t="s">
        <v>242</v>
      </c>
      <c r="B9" s="4">
        <v>5</v>
      </c>
      <c r="C9" s="7">
        <v>2026</v>
      </c>
      <c r="D9" s="8" t="s">
        <v>250</v>
      </c>
      <c r="E9" s="8" t="s">
        <v>257</v>
      </c>
      <c r="F9" s="8">
        <v>2</v>
      </c>
      <c r="G9" s="8" t="s">
        <v>19</v>
      </c>
      <c r="H9" s="8" t="s">
        <v>245</v>
      </c>
      <c r="I9" s="8"/>
      <c r="J9" s="8" t="s">
        <v>246</v>
      </c>
      <c r="K9" s="8" t="s">
        <v>247</v>
      </c>
      <c r="L9" s="9" t="s">
        <v>248</v>
      </c>
      <c r="M9" s="9" t="s">
        <v>258</v>
      </c>
      <c r="N9" t="str">
        <f>_xlfn.XLOOKUP(G9,[1]Hoja3!A:A,[1]Hoja3!E:E)</f>
        <v>BRYAN ADONIS GALDÁMEZ SALAZAR</v>
      </c>
    </row>
    <row r="10" spans="1:14" x14ac:dyDescent="0.35">
      <c r="A10" s="4" t="s">
        <v>242</v>
      </c>
      <c r="B10" s="4">
        <v>5</v>
      </c>
      <c r="C10" s="4">
        <v>2026</v>
      </c>
      <c r="D10" s="5" t="s">
        <v>22</v>
      </c>
      <c r="E10" s="5" t="s">
        <v>259</v>
      </c>
      <c r="F10" s="5">
        <v>3</v>
      </c>
      <c r="G10" s="5" t="s">
        <v>20</v>
      </c>
      <c r="H10" s="5" t="s">
        <v>260</v>
      </c>
      <c r="I10" s="5"/>
      <c r="J10" s="5" t="s">
        <v>246</v>
      </c>
      <c r="K10" s="5" t="s">
        <v>247</v>
      </c>
      <c r="L10" s="6" t="s">
        <v>248</v>
      </c>
      <c r="M10" s="6" t="s">
        <v>261</v>
      </c>
      <c r="N10" t="str">
        <f>_xlfn.XLOOKUP(G10,[1]Hoja3!A:A,[1]Hoja3!E:E)</f>
        <v>JOSE ALEXANDER GARCIA SAÑA</v>
      </c>
    </row>
    <row r="11" spans="1:14" x14ac:dyDescent="0.35">
      <c r="A11" s="7" t="s">
        <v>242</v>
      </c>
      <c r="B11" s="4">
        <v>5</v>
      </c>
      <c r="C11" s="7">
        <v>2026</v>
      </c>
      <c r="D11" s="8" t="s">
        <v>250</v>
      </c>
      <c r="E11" s="8" t="s">
        <v>262</v>
      </c>
      <c r="F11" s="8">
        <v>2</v>
      </c>
      <c r="G11" s="8" t="s">
        <v>24</v>
      </c>
      <c r="H11" s="8" t="s">
        <v>245</v>
      </c>
      <c r="I11" s="8"/>
      <c r="J11" s="8" t="s">
        <v>246</v>
      </c>
      <c r="K11" s="8" t="s">
        <v>247</v>
      </c>
      <c r="L11" s="9" t="s">
        <v>248</v>
      </c>
      <c r="M11" s="9" t="s">
        <v>263</v>
      </c>
      <c r="N11" t="str">
        <f>_xlfn.XLOOKUP(G11,[1]Hoja3!A:A,[1]Hoja3!E:E)</f>
        <v>BRYAN ADONIS GALDÁMEZ SALAZAR</v>
      </c>
    </row>
    <row r="12" spans="1:14" x14ac:dyDescent="0.35">
      <c r="A12" s="4" t="s">
        <v>242</v>
      </c>
      <c r="B12" s="4">
        <v>5</v>
      </c>
      <c r="C12" s="4">
        <v>2026</v>
      </c>
      <c r="D12" s="5" t="s">
        <v>250</v>
      </c>
      <c r="E12" s="5" t="s">
        <v>257</v>
      </c>
      <c r="F12" s="5">
        <v>3</v>
      </c>
      <c r="G12" s="5" t="s">
        <v>25</v>
      </c>
      <c r="H12" s="5" t="s">
        <v>245</v>
      </c>
      <c r="I12" s="5"/>
      <c r="J12" s="5" t="s">
        <v>246</v>
      </c>
      <c r="K12" s="5" t="s">
        <v>247</v>
      </c>
      <c r="L12" s="6" t="s">
        <v>248</v>
      </c>
      <c r="M12" s="6" t="s">
        <v>258</v>
      </c>
      <c r="N12" t="str">
        <f>_xlfn.XLOOKUP(G12,[1]Hoja3!A:A,[1]Hoja3!E:E)</f>
        <v>BRYAN ADONIS GALDÁMEZ SALAZAR</v>
      </c>
    </row>
    <row r="13" spans="1:14" x14ac:dyDescent="0.35">
      <c r="A13" s="7" t="s">
        <v>242</v>
      </c>
      <c r="B13" s="4">
        <v>5</v>
      </c>
      <c r="C13" s="7">
        <v>2026</v>
      </c>
      <c r="D13" s="8" t="s">
        <v>250</v>
      </c>
      <c r="E13" s="8" t="s">
        <v>251</v>
      </c>
      <c r="F13" s="8">
        <v>3</v>
      </c>
      <c r="G13" s="8" t="s">
        <v>85</v>
      </c>
      <c r="H13" s="8" t="s">
        <v>245</v>
      </c>
      <c r="I13" s="8"/>
      <c r="J13" s="8" t="s">
        <v>246</v>
      </c>
      <c r="K13" s="8" t="s">
        <v>247</v>
      </c>
      <c r="L13" s="9" t="s">
        <v>248</v>
      </c>
      <c r="M13" s="9" t="s">
        <v>252</v>
      </c>
      <c r="N13" t="str">
        <f>_xlfn.XLOOKUP(G13,[1]Hoja3!A:A,[1]Hoja3!E:E)</f>
        <v>KASSANDRA GUADALUPE HERNANDEZ</v>
      </c>
    </row>
    <row r="14" spans="1:14" x14ac:dyDescent="0.35">
      <c r="A14" s="4" t="s">
        <v>242</v>
      </c>
      <c r="B14" s="4">
        <v>5</v>
      </c>
      <c r="C14" s="4">
        <v>2026</v>
      </c>
      <c r="D14" s="5" t="s">
        <v>264</v>
      </c>
      <c r="E14" s="5" t="s">
        <v>244</v>
      </c>
      <c r="F14" s="5">
        <v>3</v>
      </c>
      <c r="G14" s="5" t="s">
        <v>27</v>
      </c>
      <c r="H14" s="5" t="s">
        <v>245</v>
      </c>
      <c r="I14" s="5"/>
      <c r="J14" s="5" t="s">
        <v>246</v>
      </c>
      <c r="K14" s="5" t="s">
        <v>247</v>
      </c>
      <c r="L14" s="6" t="s">
        <v>248</v>
      </c>
      <c r="M14" s="6" t="s">
        <v>249</v>
      </c>
      <c r="N14" t="str">
        <f>_xlfn.XLOOKUP(G14,[1]Hoja3!A:A,[1]Hoja3!E:E)</f>
        <v>JUAN CARLOS RAMIREZ SIBRIAN</v>
      </c>
    </row>
    <row r="15" spans="1:14" x14ac:dyDescent="0.35">
      <c r="A15" s="7" t="s">
        <v>242</v>
      </c>
      <c r="B15" s="4">
        <v>5</v>
      </c>
      <c r="C15" s="7">
        <v>2026</v>
      </c>
      <c r="D15" s="8" t="s">
        <v>250</v>
      </c>
      <c r="E15" s="8" t="s">
        <v>251</v>
      </c>
      <c r="F15" s="8">
        <v>3</v>
      </c>
      <c r="G15" s="8" t="s">
        <v>29</v>
      </c>
      <c r="H15" s="8" t="s">
        <v>245</v>
      </c>
      <c r="I15" s="8"/>
      <c r="J15" s="8" t="s">
        <v>246</v>
      </c>
      <c r="K15" s="8" t="s">
        <v>247</v>
      </c>
      <c r="L15" s="9" t="s">
        <v>248</v>
      </c>
      <c r="M15" s="9" t="s">
        <v>252</v>
      </c>
      <c r="N15" t="str">
        <f>_xlfn.XLOOKUP(G15,[1]Hoja3!A:A,[1]Hoja3!E:E)</f>
        <v>KASSANDRA GUADALUPE HERNANDEZ</v>
      </c>
    </row>
    <row r="16" spans="1:14" x14ac:dyDescent="0.35">
      <c r="A16" s="4" t="s">
        <v>242</v>
      </c>
      <c r="B16" s="4">
        <v>5</v>
      </c>
      <c r="C16" s="4">
        <v>2026</v>
      </c>
      <c r="D16" s="5" t="s">
        <v>22</v>
      </c>
      <c r="E16" s="5" t="s">
        <v>259</v>
      </c>
      <c r="F16" s="5">
        <v>3</v>
      </c>
      <c r="G16" s="5" t="s">
        <v>30</v>
      </c>
      <c r="H16" s="5" t="s">
        <v>260</v>
      </c>
      <c r="I16" s="5"/>
      <c r="J16" s="5" t="s">
        <v>246</v>
      </c>
      <c r="K16" s="5" t="s">
        <v>247</v>
      </c>
      <c r="L16" s="6" t="s">
        <v>248</v>
      </c>
      <c r="M16" s="6" t="s">
        <v>261</v>
      </c>
      <c r="N16" t="str">
        <f>_xlfn.XLOOKUP(G16,[1]Hoja3!A:A,[1]Hoja3!E:E)</f>
        <v>JOSE ALEXANDER GARCIA SAÑA</v>
      </c>
    </row>
    <row r="17" spans="1:14" x14ac:dyDescent="0.35">
      <c r="A17" s="7" t="s">
        <v>242</v>
      </c>
      <c r="B17" s="4">
        <v>5</v>
      </c>
      <c r="C17" s="7">
        <v>2026</v>
      </c>
      <c r="D17" s="8" t="s">
        <v>250</v>
      </c>
      <c r="E17" s="8" t="s">
        <v>255</v>
      </c>
      <c r="F17" s="8">
        <v>3</v>
      </c>
      <c r="G17" s="8" t="s">
        <v>31</v>
      </c>
      <c r="H17" s="8" t="s">
        <v>245</v>
      </c>
      <c r="I17" s="8"/>
      <c r="J17" s="8" t="s">
        <v>246</v>
      </c>
      <c r="K17" s="8" t="s">
        <v>247</v>
      </c>
      <c r="L17" s="9" t="s">
        <v>248</v>
      </c>
      <c r="M17" s="9" t="s">
        <v>256</v>
      </c>
      <c r="N17" t="str">
        <f>_xlfn.XLOOKUP(G17,[1]Hoja3!A:A,[1]Hoja3!E:E)</f>
        <v>ELMER NEFTALI FIGUEROA</v>
      </c>
    </row>
    <row r="18" spans="1:14" x14ac:dyDescent="0.35">
      <c r="A18" s="4" t="s">
        <v>242</v>
      </c>
      <c r="B18" s="4">
        <v>5</v>
      </c>
      <c r="C18" s="4">
        <v>2026</v>
      </c>
      <c r="D18" s="5" t="s">
        <v>250</v>
      </c>
      <c r="E18" s="5" t="s">
        <v>262</v>
      </c>
      <c r="F18" s="5">
        <v>3</v>
      </c>
      <c r="G18" s="5" t="s">
        <v>32</v>
      </c>
      <c r="H18" s="5" t="s">
        <v>245</v>
      </c>
      <c r="I18" s="5"/>
      <c r="J18" s="5" t="s">
        <v>246</v>
      </c>
      <c r="K18" s="5" t="s">
        <v>247</v>
      </c>
      <c r="L18" s="6" t="s">
        <v>248</v>
      </c>
      <c r="M18" s="6" t="s">
        <v>263</v>
      </c>
      <c r="N18" t="str">
        <f>_xlfn.XLOOKUP(G18,[1]Hoja3!A:A,[1]Hoja3!E:E)</f>
        <v>BRYAN ADONIS GALDÁMEZ SALAZAR</v>
      </c>
    </row>
    <row r="19" spans="1:14" x14ac:dyDescent="0.35">
      <c r="A19" s="7" t="s">
        <v>242</v>
      </c>
      <c r="B19" s="4">
        <v>5</v>
      </c>
      <c r="C19" s="7">
        <v>2026</v>
      </c>
      <c r="D19" s="8" t="s">
        <v>250</v>
      </c>
      <c r="E19" s="8" t="s">
        <v>255</v>
      </c>
      <c r="F19" s="8">
        <v>2</v>
      </c>
      <c r="G19" s="8" t="s">
        <v>33</v>
      </c>
      <c r="H19" s="8" t="s">
        <v>245</v>
      </c>
      <c r="I19" s="8"/>
      <c r="J19" s="8" t="s">
        <v>246</v>
      </c>
      <c r="K19" s="8" t="s">
        <v>247</v>
      </c>
      <c r="L19" s="9" t="s">
        <v>248</v>
      </c>
      <c r="M19" s="9" t="s">
        <v>256</v>
      </c>
      <c r="N19" t="str">
        <f>_xlfn.XLOOKUP(G19,[1]Hoja3!A:A,[1]Hoja3!E:E)</f>
        <v>ELMER NEFTALI FIGUEROA</v>
      </c>
    </row>
    <row r="20" spans="1:14" x14ac:dyDescent="0.35">
      <c r="A20" s="4" t="s">
        <v>242</v>
      </c>
      <c r="B20" s="4">
        <v>5</v>
      </c>
      <c r="C20" s="4">
        <v>2026</v>
      </c>
      <c r="D20" s="5" t="s">
        <v>250</v>
      </c>
      <c r="E20" s="5" t="s">
        <v>265</v>
      </c>
      <c r="F20" s="5">
        <v>3</v>
      </c>
      <c r="G20" s="5" t="s">
        <v>34</v>
      </c>
      <c r="H20" s="5" t="s">
        <v>245</v>
      </c>
      <c r="I20" s="5"/>
      <c r="J20" s="5" t="s">
        <v>246</v>
      </c>
      <c r="K20" s="5" t="s">
        <v>247</v>
      </c>
      <c r="L20" s="6" t="s">
        <v>248</v>
      </c>
      <c r="M20" s="6" t="s">
        <v>266</v>
      </c>
      <c r="N20" t="str">
        <f>_xlfn.XLOOKUP(G20,[1]Hoja3!A:A,[1]Hoja3!E:E)</f>
        <v>KASSANDRA GUADALUPE HERNANDEZ</v>
      </c>
    </row>
    <row r="21" spans="1:14" x14ac:dyDescent="0.35">
      <c r="A21" s="7" t="s">
        <v>242</v>
      </c>
      <c r="B21" s="4">
        <v>5</v>
      </c>
      <c r="C21" s="7">
        <v>2026</v>
      </c>
      <c r="D21" s="8" t="s">
        <v>250</v>
      </c>
      <c r="E21" s="8" t="s">
        <v>257</v>
      </c>
      <c r="F21" s="8">
        <v>3</v>
      </c>
      <c r="G21" s="8" t="s">
        <v>36</v>
      </c>
      <c r="H21" s="8" t="s">
        <v>245</v>
      </c>
      <c r="I21" s="8"/>
      <c r="J21" s="8" t="s">
        <v>246</v>
      </c>
      <c r="K21" s="8" t="s">
        <v>247</v>
      </c>
      <c r="L21" s="9" t="s">
        <v>248</v>
      </c>
      <c r="M21" s="9" t="s">
        <v>258</v>
      </c>
      <c r="N21" t="str">
        <f>_xlfn.XLOOKUP(G21,[1]Hoja3!A:A,[1]Hoja3!E:E)</f>
        <v>BRYAN ADONIS GALDÁMEZ SALAZAR</v>
      </c>
    </row>
    <row r="22" spans="1:14" x14ac:dyDescent="0.35">
      <c r="A22" s="4" t="s">
        <v>242</v>
      </c>
      <c r="B22" s="4">
        <v>5</v>
      </c>
      <c r="C22" s="4">
        <v>2026</v>
      </c>
      <c r="D22" s="5" t="s">
        <v>250</v>
      </c>
      <c r="E22" s="5" t="s">
        <v>262</v>
      </c>
      <c r="F22" s="5">
        <v>3</v>
      </c>
      <c r="G22" s="5" t="s">
        <v>37</v>
      </c>
      <c r="H22" s="5" t="s">
        <v>245</v>
      </c>
      <c r="I22" s="5"/>
      <c r="J22" s="5" t="s">
        <v>246</v>
      </c>
      <c r="K22" s="5" t="s">
        <v>247</v>
      </c>
      <c r="L22" s="6" t="s">
        <v>248</v>
      </c>
      <c r="M22" s="6" t="s">
        <v>263</v>
      </c>
      <c r="N22" t="str">
        <f>_xlfn.XLOOKUP(G22,[1]Hoja3!A:A,[1]Hoja3!E:E)</f>
        <v>BRYAN ADONIS GALDÁMEZ SALAZAR</v>
      </c>
    </row>
    <row r="23" spans="1:14" x14ac:dyDescent="0.35">
      <c r="A23" s="7" t="s">
        <v>242</v>
      </c>
      <c r="B23" s="4">
        <v>5</v>
      </c>
      <c r="C23" s="7">
        <v>2026</v>
      </c>
      <c r="D23" s="8" t="s">
        <v>250</v>
      </c>
      <c r="E23" s="8" t="s">
        <v>257</v>
      </c>
      <c r="F23" s="8">
        <v>3</v>
      </c>
      <c r="G23" s="8" t="s">
        <v>38</v>
      </c>
      <c r="H23" s="8" t="s">
        <v>245</v>
      </c>
      <c r="I23" s="8"/>
      <c r="J23" s="8" t="s">
        <v>246</v>
      </c>
      <c r="K23" s="8" t="s">
        <v>247</v>
      </c>
      <c r="L23" s="9" t="s">
        <v>248</v>
      </c>
      <c r="M23" s="9" t="s">
        <v>258</v>
      </c>
      <c r="N23" t="str">
        <f>_xlfn.XLOOKUP(G23,[1]Hoja3!A:A,[1]Hoja3!E:E)</f>
        <v>BRYAN ADONIS GALDÁMEZ SALAZAR</v>
      </c>
    </row>
    <row r="24" spans="1:14" x14ac:dyDescent="0.35">
      <c r="A24" s="4" t="s">
        <v>242</v>
      </c>
      <c r="B24" s="4">
        <v>5</v>
      </c>
      <c r="C24" s="4">
        <v>2026</v>
      </c>
      <c r="D24" s="5" t="s">
        <v>250</v>
      </c>
      <c r="E24" s="5" t="s">
        <v>262</v>
      </c>
      <c r="F24" s="5">
        <v>3</v>
      </c>
      <c r="G24" s="5" t="s">
        <v>39</v>
      </c>
      <c r="H24" s="5" t="s">
        <v>245</v>
      </c>
      <c r="I24" s="5"/>
      <c r="J24" s="5" t="s">
        <v>246</v>
      </c>
      <c r="K24" s="5" t="s">
        <v>247</v>
      </c>
      <c r="L24" s="6" t="s">
        <v>248</v>
      </c>
      <c r="M24" s="6" t="s">
        <v>263</v>
      </c>
      <c r="N24" t="str">
        <f>_xlfn.XLOOKUP(G24,[1]Hoja3!A:A,[1]Hoja3!E:E)</f>
        <v>BRYAN ADONIS GALDÁMEZ SALAZAR</v>
      </c>
    </row>
    <row r="25" spans="1:14" x14ac:dyDescent="0.35">
      <c r="A25" s="4" t="s">
        <v>242</v>
      </c>
      <c r="B25" s="4">
        <v>5</v>
      </c>
      <c r="C25" s="4">
        <v>2026</v>
      </c>
      <c r="D25" s="5" t="s">
        <v>250</v>
      </c>
      <c r="E25" s="5" t="s">
        <v>265</v>
      </c>
      <c r="F25" s="5">
        <v>3</v>
      </c>
      <c r="G25" s="5" t="s">
        <v>40</v>
      </c>
      <c r="H25" s="5" t="s">
        <v>245</v>
      </c>
      <c r="I25" s="5"/>
      <c r="J25" s="5" t="s">
        <v>246</v>
      </c>
      <c r="K25" s="5" t="s">
        <v>247</v>
      </c>
      <c r="L25" s="6" t="s">
        <v>248</v>
      </c>
      <c r="M25" s="6" t="s">
        <v>266</v>
      </c>
      <c r="N25" t="str">
        <f>_xlfn.XLOOKUP(G25,[1]Hoja3!A:A,[1]Hoja3!E:E)</f>
        <v>KASSANDRA GUADALUPE HERNANDEZ</v>
      </c>
    </row>
    <row r="26" spans="1:14" x14ac:dyDescent="0.35">
      <c r="A26" s="7" t="s">
        <v>242</v>
      </c>
      <c r="B26" s="4">
        <v>5</v>
      </c>
      <c r="C26" s="7">
        <v>2026</v>
      </c>
      <c r="D26" s="8" t="s">
        <v>5</v>
      </c>
      <c r="E26" s="8" t="s">
        <v>244</v>
      </c>
      <c r="F26" s="8">
        <v>2</v>
      </c>
      <c r="G26" s="8" t="s">
        <v>41</v>
      </c>
      <c r="H26" s="8" t="s">
        <v>245</v>
      </c>
      <c r="I26" s="8"/>
      <c r="J26" s="8" t="s">
        <v>246</v>
      </c>
      <c r="K26" s="8" t="s">
        <v>247</v>
      </c>
      <c r="L26" s="9" t="s">
        <v>248</v>
      </c>
      <c r="M26" s="9" t="s">
        <v>249</v>
      </c>
      <c r="N26" t="str">
        <f>_xlfn.XLOOKUP(G26,[1]Hoja3!A:A,[1]Hoja3!E:E)</f>
        <v>JUAN CARLOS RAMIREZ SIBRIAN</v>
      </c>
    </row>
    <row r="27" spans="1:14" x14ac:dyDescent="0.35">
      <c r="A27" s="4" t="s">
        <v>242</v>
      </c>
      <c r="B27" s="4">
        <v>5</v>
      </c>
      <c r="C27" s="4">
        <v>2026</v>
      </c>
      <c r="D27" s="5" t="s">
        <v>250</v>
      </c>
      <c r="E27" s="5" t="s">
        <v>251</v>
      </c>
      <c r="F27" s="5">
        <v>3</v>
      </c>
      <c r="G27" s="5" t="s">
        <v>42</v>
      </c>
      <c r="H27" s="5" t="s">
        <v>245</v>
      </c>
      <c r="I27" s="5"/>
      <c r="J27" s="5" t="s">
        <v>246</v>
      </c>
      <c r="K27" s="5" t="s">
        <v>247</v>
      </c>
      <c r="L27" s="6" t="s">
        <v>248</v>
      </c>
      <c r="M27" s="6" t="s">
        <v>252</v>
      </c>
      <c r="N27" t="str">
        <f>_xlfn.XLOOKUP(G27,[1]Hoja3!A:A,[1]Hoja3!E:E)</f>
        <v>KASSANDRA GUADALUPE HERNANDEZ</v>
      </c>
    </row>
    <row r="28" spans="1:14" x14ac:dyDescent="0.35">
      <c r="A28" s="7" t="s">
        <v>242</v>
      </c>
      <c r="B28" s="4">
        <v>5</v>
      </c>
      <c r="C28" s="7">
        <v>2026</v>
      </c>
      <c r="D28" s="8" t="s">
        <v>250</v>
      </c>
      <c r="E28" s="8" t="s">
        <v>251</v>
      </c>
      <c r="F28" s="8">
        <v>3</v>
      </c>
      <c r="G28" s="8" t="s">
        <v>43</v>
      </c>
      <c r="H28" s="8" t="s">
        <v>245</v>
      </c>
      <c r="I28" s="8"/>
      <c r="J28" s="8" t="s">
        <v>246</v>
      </c>
      <c r="K28" s="8" t="s">
        <v>247</v>
      </c>
      <c r="L28" s="9" t="s">
        <v>248</v>
      </c>
      <c r="M28" s="9" t="s">
        <v>252</v>
      </c>
      <c r="N28" t="str">
        <f>_xlfn.XLOOKUP(G28,[1]Hoja3!A:A,[1]Hoja3!E:E)</f>
        <v>KASSANDRA GUADALUPE HERNANDEZ</v>
      </c>
    </row>
    <row r="29" spans="1:14" x14ac:dyDescent="0.35">
      <c r="A29" s="4" t="s">
        <v>242</v>
      </c>
      <c r="B29" s="4">
        <v>5</v>
      </c>
      <c r="C29" s="4">
        <v>2026</v>
      </c>
      <c r="D29" s="5" t="s">
        <v>250</v>
      </c>
      <c r="E29" s="5" t="s">
        <v>251</v>
      </c>
      <c r="F29" s="5">
        <v>3</v>
      </c>
      <c r="G29" s="5" t="s">
        <v>44</v>
      </c>
      <c r="H29" s="5" t="s">
        <v>245</v>
      </c>
      <c r="I29" s="5"/>
      <c r="J29" s="5" t="s">
        <v>246</v>
      </c>
      <c r="K29" s="5" t="s">
        <v>247</v>
      </c>
      <c r="L29" s="6" t="s">
        <v>248</v>
      </c>
      <c r="M29" s="6" t="s">
        <v>252</v>
      </c>
      <c r="N29" t="str">
        <f>_xlfn.XLOOKUP(G29,[1]Hoja3!A:A,[1]Hoja3!E:E)</f>
        <v>KASSANDRA GUADALUPE HERNANDEZ</v>
      </c>
    </row>
    <row r="30" spans="1:14" x14ac:dyDescent="0.35">
      <c r="A30" s="7" t="s">
        <v>242</v>
      </c>
      <c r="B30" s="4">
        <v>5</v>
      </c>
      <c r="C30" s="7">
        <v>2026</v>
      </c>
      <c r="D30" s="8" t="s">
        <v>250</v>
      </c>
      <c r="E30" s="8" t="s">
        <v>262</v>
      </c>
      <c r="F30" s="8">
        <v>2</v>
      </c>
      <c r="G30" s="8" t="s">
        <v>46</v>
      </c>
      <c r="H30" s="8" t="s">
        <v>245</v>
      </c>
      <c r="I30" s="8"/>
      <c r="J30" s="8" t="s">
        <v>246</v>
      </c>
      <c r="K30" s="8" t="s">
        <v>247</v>
      </c>
      <c r="L30" s="9" t="s">
        <v>248</v>
      </c>
      <c r="M30" s="9" t="s">
        <v>263</v>
      </c>
      <c r="N30" t="str">
        <f>_xlfn.XLOOKUP(G30,[1]Hoja3!A:A,[1]Hoja3!E:E)</f>
        <v>BRYAN ADONIS GALDÁMEZ SALAZAR</v>
      </c>
    </row>
    <row r="31" spans="1:14" x14ac:dyDescent="0.35">
      <c r="A31" s="4" t="s">
        <v>242</v>
      </c>
      <c r="B31" s="4">
        <v>5</v>
      </c>
      <c r="C31" s="4">
        <v>2026</v>
      </c>
      <c r="D31" s="5" t="s">
        <v>250</v>
      </c>
      <c r="E31" s="5" t="s">
        <v>267</v>
      </c>
      <c r="F31" s="5">
        <v>3</v>
      </c>
      <c r="G31" s="5" t="s">
        <v>47</v>
      </c>
      <c r="H31" s="5" t="s">
        <v>245</v>
      </c>
      <c r="I31" s="5"/>
      <c r="J31" s="5" t="s">
        <v>246</v>
      </c>
      <c r="K31" s="5" t="s">
        <v>247</v>
      </c>
      <c r="L31" s="6" t="s">
        <v>248</v>
      </c>
      <c r="M31" s="6" t="s">
        <v>268</v>
      </c>
      <c r="N31" t="str">
        <f>_xlfn.XLOOKUP(G31,[1]Hoja3!A:A,[1]Hoja3!E:E)</f>
        <v>ELMER NEFTALI FIGUEROA</v>
      </c>
    </row>
    <row r="32" spans="1:14" x14ac:dyDescent="0.35">
      <c r="A32" s="7" t="s">
        <v>242</v>
      </c>
      <c r="B32" s="4">
        <v>5</v>
      </c>
      <c r="C32" s="7">
        <v>2026</v>
      </c>
      <c r="D32" s="8" t="s">
        <v>5</v>
      </c>
      <c r="E32" s="8" t="s">
        <v>244</v>
      </c>
      <c r="F32" s="8">
        <v>2</v>
      </c>
      <c r="G32" s="8" t="s">
        <v>48</v>
      </c>
      <c r="H32" s="8" t="s">
        <v>245</v>
      </c>
      <c r="I32" s="8"/>
      <c r="J32" s="8" t="s">
        <v>246</v>
      </c>
      <c r="K32" s="8" t="s">
        <v>247</v>
      </c>
      <c r="L32" s="9" t="s">
        <v>248</v>
      </c>
      <c r="M32" s="9" t="s">
        <v>249</v>
      </c>
      <c r="N32" t="str">
        <f>_xlfn.XLOOKUP(G32,[1]Hoja3!A:A,[1]Hoja3!E:E)</f>
        <v>JUAN CARLOS RAMIREZ SIBRIAN</v>
      </c>
    </row>
    <row r="33" spans="1:14" x14ac:dyDescent="0.35">
      <c r="A33" s="4" t="s">
        <v>242</v>
      </c>
      <c r="B33" s="4">
        <v>5</v>
      </c>
      <c r="C33" s="4">
        <v>2026</v>
      </c>
      <c r="D33" s="5" t="s">
        <v>250</v>
      </c>
      <c r="E33" s="5" t="s">
        <v>253</v>
      </c>
      <c r="F33" s="5">
        <v>2</v>
      </c>
      <c r="G33" s="5" t="s">
        <v>49</v>
      </c>
      <c r="H33" s="5" t="s">
        <v>245</v>
      </c>
      <c r="I33" s="5"/>
      <c r="J33" s="5" t="s">
        <v>246</v>
      </c>
      <c r="K33" s="5" t="s">
        <v>247</v>
      </c>
      <c r="L33" s="6" t="s">
        <v>248</v>
      </c>
      <c r="M33" s="6" t="s">
        <v>254</v>
      </c>
      <c r="N33" t="str">
        <f>_xlfn.XLOOKUP(G33,[1]Hoja3!A:A,[1]Hoja3!E:E)</f>
        <v>JUAN CARLOS RAMIREZ SIBRIAN</v>
      </c>
    </row>
    <row r="34" spans="1:14" x14ac:dyDescent="0.35">
      <c r="A34" s="7" t="s">
        <v>242</v>
      </c>
      <c r="B34" s="4">
        <v>5</v>
      </c>
      <c r="C34" s="7">
        <v>2026</v>
      </c>
      <c r="D34" s="8" t="s">
        <v>243</v>
      </c>
      <c r="E34" s="8" t="s">
        <v>244</v>
      </c>
      <c r="F34" s="8">
        <v>2</v>
      </c>
      <c r="G34" s="8" t="s">
        <v>50</v>
      </c>
      <c r="H34" s="8" t="s">
        <v>245</v>
      </c>
      <c r="I34" s="8"/>
      <c r="J34" s="8" t="s">
        <v>246</v>
      </c>
      <c r="K34" s="8" t="s">
        <v>247</v>
      </c>
      <c r="L34" s="9" t="s">
        <v>248</v>
      </c>
      <c r="M34" s="9" t="s">
        <v>249</v>
      </c>
      <c r="N34" t="str">
        <f>_xlfn.XLOOKUP(G34,[1]Hoja3!A:A,[1]Hoja3!E:E)</f>
        <v>JUAN CARLOS RAMIREZ SIBRIAN</v>
      </c>
    </row>
    <row r="35" spans="1:14" x14ac:dyDescent="0.35">
      <c r="A35" s="4" t="s">
        <v>242</v>
      </c>
      <c r="B35" s="4">
        <v>5</v>
      </c>
      <c r="C35" s="4">
        <v>2026</v>
      </c>
      <c r="D35" s="5" t="s">
        <v>269</v>
      </c>
      <c r="E35" s="5" t="s">
        <v>244</v>
      </c>
      <c r="F35" s="5">
        <v>3</v>
      </c>
      <c r="G35" s="5" t="s">
        <v>51</v>
      </c>
      <c r="H35" s="5" t="s">
        <v>245</v>
      </c>
      <c r="I35" s="5"/>
      <c r="J35" s="5" t="s">
        <v>246</v>
      </c>
      <c r="K35" s="5" t="s">
        <v>247</v>
      </c>
      <c r="L35" s="6" t="s">
        <v>248</v>
      </c>
      <c r="M35" s="6" t="s">
        <v>249</v>
      </c>
      <c r="N35" t="str">
        <f>_xlfn.XLOOKUP(G35,[1]Hoja3!A:A,[1]Hoja3!E:E)</f>
        <v>JUAN CARLOS RAMIREZ SIBRIAN</v>
      </c>
    </row>
    <row r="36" spans="1:14" x14ac:dyDescent="0.35">
      <c r="A36" s="7" t="s">
        <v>242</v>
      </c>
      <c r="B36" s="4">
        <v>5</v>
      </c>
      <c r="C36" s="7">
        <v>2026</v>
      </c>
      <c r="D36" s="8" t="s">
        <v>5</v>
      </c>
      <c r="E36" s="8" t="s">
        <v>244</v>
      </c>
      <c r="F36" s="8">
        <v>3</v>
      </c>
      <c r="G36" s="8" t="s">
        <v>270</v>
      </c>
      <c r="H36" s="8" t="s">
        <v>245</v>
      </c>
      <c r="I36" s="8"/>
      <c r="J36" s="8" t="s">
        <v>246</v>
      </c>
      <c r="K36" s="8" t="s">
        <v>247</v>
      </c>
      <c r="L36" s="9" t="s">
        <v>248</v>
      </c>
      <c r="M36" s="9" t="s">
        <v>249</v>
      </c>
      <c r="N36" t="str">
        <f>_xlfn.XLOOKUP(G36,[1]Hoja3!A:A,[1]Hoja3!E:E)</f>
        <v>JUAN CARLOS RAMIREZ SIBRIAN</v>
      </c>
    </row>
    <row r="37" spans="1:14" x14ac:dyDescent="0.35">
      <c r="A37" s="4" t="s">
        <v>242</v>
      </c>
      <c r="B37" s="4">
        <v>5</v>
      </c>
      <c r="C37" s="4">
        <v>2026</v>
      </c>
      <c r="D37" s="5" t="s">
        <v>22</v>
      </c>
      <c r="E37" s="5" t="s">
        <v>259</v>
      </c>
      <c r="F37" s="5">
        <v>3</v>
      </c>
      <c r="G37" s="5" t="s">
        <v>52</v>
      </c>
      <c r="H37" s="5" t="s">
        <v>245</v>
      </c>
      <c r="I37" s="5"/>
      <c r="J37" s="5" t="s">
        <v>246</v>
      </c>
      <c r="K37" s="5" t="s">
        <v>247</v>
      </c>
      <c r="L37" s="6" t="s">
        <v>248</v>
      </c>
      <c r="M37" s="6" t="s">
        <v>261</v>
      </c>
      <c r="N37" t="str">
        <f>_xlfn.XLOOKUP(G37,[1]Hoja3!A:A,[1]Hoja3!E:E)</f>
        <v>JUAN CARLOS RAMIREZ SIBRIAN</v>
      </c>
    </row>
    <row r="38" spans="1:14" x14ac:dyDescent="0.35">
      <c r="A38" s="7" t="s">
        <v>242</v>
      </c>
      <c r="B38" s="4">
        <v>5</v>
      </c>
      <c r="C38" s="7">
        <v>2026</v>
      </c>
      <c r="D38" s="8" t="s">
        <v>250</v>
      </c>
      <c r="E38" s="8" t="s">
        <v>253</v>
      </c>
      <c r="F38" s="8">
        <v>2</v>
      </c>
      <c r="G38" s="8" t="s">
        <v>53</v>
      </c>
      <c r="H38" s="8" t="s">
        <v>245</v>
      </c>
      <c r="I38" s="8"/>
      <c r="J38" s="8" t="s">
        <v>246</v>
      </c>
      <c r="K38" s="8" t="s">
        <v>247</v>
      </c>
      <c r="L38" s="9" t="s">
        <v>248</v>
      </c>
      <c r="M38" s="9" t="s">
        <v>254</v>
      </c>
      <c r="N38" t="str">
        <f>_xlfn.XLOOKUP(G38,[1]Hoja3!A:A,[1]Hoja3!E:E)</f>
        <v>JUAN CARLOS RAMIREZ SIBRIAN</v>
      </c>
    </row>
    <row r="39" spans="1:14" x14ac:dyDescent="0.35">
      <c r="A39" s="4" t="s">
        <v>242</v>
      </c>
      <c r="B39" s="4">
        <v>5</v>
      </c>
      <c r="C39" s="4">
        <v>2026</v>
      </c>
      <c r="D39" s="5" t="s">
        <v>22</v>
      </c>
      <c r="E39" s="5" t="s">
        <v>259</v>
      </c>
      <c r="F39" s="5">
        <v>3</v>
      </c>
      <c r="G39" s="5" t="s">
        <v>62</v>
      </c>
      <c r="H39" s="5" t="s">
        <v>260</v>
      </c>
      <c r="I39" s="5"/>
      <c r="J39" s="5" t="s">
        <v>246</v>
      </c>
      <c r="K39" s="5" t="s">
        <v>247</v>
      </c>
      <c r="L39" s="6" t="s">
        <v>248</v>
      </c>
      <c r="M39" s="6" t="s">
        <v>261</v>
      </c>
      <c r="N39" t="str">
        <f>_xlfn.XLOOKUP(G39,[1]Hoja3!A:A,[1]Hoja3!E:E)</f>
        <v>JOSE ALEXANDER GARCIA SAÑA</v>
      </c>
    </row>
    <row r="40" spans="1:14" x14ac:dyDescent="0.35">
      <c r="A40" s="7" t="s">
        <v>242</v>
      </c>
      <c r="B40" s="4">
        <v>5</v>
      </c>
      <c r="C40" s="7">
        <v>2026</v>
      </c>
      <c r="D40" s="8" t="s">
        <v>250</v>
      </c>
      <c r="E40" s="8" t="s">
        <v>251</v>
      </c>
      <c r="F40" s="8">
        <v>3</v>
      </c>
      <c r="G40" s="8" t="s">
        <v>56</v>
      </c>
      <c r="H40" s="8" t="s">
        <v>245</v>
      </c>
      <c r="I40" s="8"/>
      <c r="J40" s="8" t="s">
        <v>246</v>
      </c>
      <c r="K40" s="8" t="s">
        <v>247</v>
      </c>
      <c r="L40" s="9" t="s">
        <v>248</v>
      </c>
      <c r="M40" s="9" t="s">
        <v>252</v>
      </c>
      <c r="N40" t="str">
        <f>_xlfn.XLOOKUP(G40,[1]Hoja3!A:A,[1]Hoja3!E:E)</f>
        <v>KASSANDRA GUADALUPE HERNANDEZ</v>
      </c>
    </row>
    <row r="41" spans="1:14" x14ac:dyDescent="0.35">
      <c r="A41" s="7" t="s">
        <v>242</v>
      </c>
      <c r="B41" s="4">
        <v>5</v>
      </c>
      <c r="C41" s="7">
        <v>2026</v>
      </c>
      <c r="D41" s="8" t="s">
        <v>250</v>
      </c>
      <c r="E41" s="8" t="s">
        <v>265</v>
      </c>
      <c r="F41" s="8">
        <v>3</v>
      </c>
      <c r="G41" s="8" t="s">
        <v>57</v>
      </c>
      <c r="H41" s="8" t="s">
        <v>245</v>
      </c>
      <c r="I41" s="8"/>
      <c r="J41" s="8" t="s">
        <v>246</v>
      </c>
      <c r="K41" s="8" t="s">
        <v>247</v>
      </c>
      <c r="L41" s="9" t="s">
        <v>248</v>
      </c>
      <c r="M41" s="9" t="s">
        <v>266</v>
      </c>
      <c r="N41" t="str">
        <f>_xlfn.XLOOKUP(G41,[1]Hoja3!A:A,[1]Hoja3!E:E)</f>
        <v>KASSANDRA GUADALUPE HERNANDEZ</v>
      </c>
    </row>
    <row r="42" spans="1:14" x14ac:dyDescent="0.35">
      <c r="A42" s="4" t="s">
        <v>242</v>
      </c>
      <c r="B42" s="4">
        <v>5</v>
      </c>
      <c r="C42" s="4">
        <v>2026</v>
      </c>
      <c r="D42" s="5" t="s">
        <v>250</v>
      </c>
      <c r="E42" s="5" t="s">
        <v>257</v>
      </c>
      <c r="F42" s="5">
        <v>3</v>
      </c>
      <c r="G42" s="5" t="s">
        <v>58</v>
      </c>
      <c r="H42" s="5" t="s">
        <v>245</v>
      </c>
      <c r="I42" s="5"/>
      <c r="J42" s="5" t="s">
        <v>246</v>
      </c>
      <c r="K42" s="5" t="s">
        <v>247</v>
      </c>
      <c r="L42" s="6" t="s">
        <v>248</v>
      </c>
      <c r="M42" s="6" t="s">
        <v>258</v>
      </c>
      <c r="N42" t="str">
        <f>_xlfn.XLOOKUP(G42,[1]Hoja3!A:A,[1]Hoja3!E:E)</f>
        <v>BRYAN ADONIS GALDÁMEZ SALAZAR</v>
      </c>
    </row>
    <row r="43" spans="1:14" x14ac:dyDescent="0.35">
      <c r="A43" s="7" t="s">
        <v>242</v>
      </c>
      <c r="B43" s="4">
        <v>5</v>
      </c>
      <c r="C43" s="7">
        <v>2026</v>
      </c>
      <c r="D43" s="8" t="s">
        <v>5</v>
      </c>
      <c r="E43" s="8" t="s">
        <v>244</v>
      </c>
      <c r="F43" s="8">
        <v>3</v>
      </c>
      <c r="G43" s="8" t="s">
        <v>59</v>
      </c>
      <c r="H43" s="8" t="s">
        <v>245</v>
      </c>
      <c r="I43" s="8"/>
      <c r="J43" s="8" t="s">
        <v>246</v>
      </c>
      <c r="K43" s="8" t="s">
        <v>247</v>
      </c>
      <c r="L43" s="9" t="s">
        <v>248</v>
      </c>
      <c r="M43" s="9" t="s">
        <v>249</v>
      </c>
      <c r="N43" t="str">
        <f>_xlfn.XLOOKUP(G43,[1]Hoja3!A:A,[1]Hoja3!E:E)</f>
        <v>JUAN CARLOS RAMIREZ SIBRIAN</v>
      </c>
    </row>
    <row r="44" spans="1:14" x14ac:dyDescent="0.35">
      <c r="A44" s="4" t="s">
        <v>242</v>
      </c>
      <c r="B44" s="4">
        <v>5</v>
      </c>
      <c r="C44" s="4">
        <v>2026</v>
      </c>
      <c r="D44" s="5" t="s">
        <v>250</v>
      </c>
      <c r="E44" s="5" t="s">
        <v>255</v>
      </c>
      <c r="F44" s="5">
        <v>3</v>
      </c>
      <c r="G44" s="5" t="s">
        <v>60</v>
      </c>
      <c r="H44" s="5" t="s">
        <v>245</v>
      </c>
      <c r="I44" s="5"/>
      <c r="J44" s="5" t="s">
        <v>246</v>
      </c>
      <c r="K44" s="5" t="s">
        <v>247</v>
      </c>
      <c r="L44" s="6" t="s">
        <v>248</v>
      </c>
      <c r="M44" s="6" t="s">
        <v>256</v>
      </c>
      <c r="N44" t="str">
        <f>_xlfn.XLOOKUP(G44,[1]Hoja3!A:A,[1]Hoja3!E:E)</f>
        <v>ELMER NEFTALI FIGUEROA</v>
      </c>
    </row>
    <row r="45" spans="1:14" x14ac:dyDescent="0.35">
      <c r="A45" s="7" t="s">
        <v>242</v>
      </c>
      <c r="B45" s="4">
        <v>5</v>
      </c>
      <c r="C45" s="7">
        <v>2026</v>
      </c>
      <c r="D45" s="8" t="s">
        <v>250</v>
      </c>
      <c r="E45" s="8" t="s">
        <v>267</v>
      </c>
      <c r="F45" s="8">
        <v>3</v>
      </c>
      <c r="G45" s="8" t="s">
        <v>61</v>
      </c>
      <c r="H45" s="8" t="s">
        <v>245</v>
      </c>
      <c r="I45" s="8"/>
      <c r="J45" s="8" t="s">
        <v>246</v>
      </c>
      <c r="K45" s="8" t="s">
        <v>247</v>
      </c>
      <c r="L45" s="9" t="s">
        <v>248</v>
      </c>
      <c r="M45" s="9" t="s">
        <v>268</v>
      </c>
      <c r="N45" t="str">
        <f>_xlfn.XLOOKUP(G45,[1]Hoja3!A:A,[1]Hoja3!E:E)</f>
        <v>ELMER NEFTALI FIGUEROA</v>
      </c>
    </row>
    <row r="46" spans="1:14" x14ac:dyDescent="0.35">
      <c r="A46" s="4" t="s">
        <v>242</v>
      </c>
      <c r="B46" s="4">
        <v>5</v>
      </c>
      <c r="C46" s="4">
        <v>2026</v>
      </c>
      <c r="D46" s="5" t="s">
        <v>22</v>
      </c>
      <c r="E46" s="5" t="s">
        <v>259</v>
      </c>
      <c r="F46" s="5">
        <v>3</v>
      </c>
      <c r="G46" s="5" t="s">
        <v>71</v>
      </c>
      <c r="H46" s="5" t="s">
        <v>260</v>
      </c>
      <c r="I46" s="5"/>
      <c r="J46" s="5" t="s">
        <v>246</v>
      </c>
      <c r="K46" s="5" t="s">
        <v>247</v>
      </c>
      <c r="L46" s="6" t="s">
        <v>248</v>
      </c>
      <c r="M46" s="6" t="s">
        <v>261</v>
      </c>
      <c r="N46" t="str">
        <f>_xlfn.XLOOKUP(G46,[1]Hoja3!A:A,[1]Hoja3!E:E)</f>
        <v>JOSE ALEXANDER GARCIA SAÑA</v>
      </c>
    </row>
    <row r="47" spans="1:14" x14ac:dyDescent="0.35">
      <c r="A47" s="7" t="s">
        <v>242</v>
      </c>
      <c r="B47" s="4">
        <v>5</v>
      </c>
      <c r="C47" s="7">
        <v>2026</v>
      </c>
      <c r="D47" s="8" t="s">
        <v>250</v>
      </c>
      <c r="E47" s="8" t="s">
        <v>265</v>
      </c>
      <c r="F47" s="8">
        <v>3</v>
      </c>
      <c r="G47" s="8" t="s">
        <v>63</v>
      </c>
      <c r="H47" s="8" t="s">
        <v>245</v>
      </c>
      <c r="I47" s="8"/>
      <c r="J47" s="8" t="s">
        <v>246</v>
      </c>
      <c r="K47" s="8" t="s">
        <v>247</v>
      </c>
      <c r="L47" s="9" t="s">
        <v>248</v>
      </c>
      <c r="M47" s="9" t="s">
        <v>266</v>
      </c>
      <c r="N47" t="str">
        <f>_xlfn.XLOOKUP(G47,[1]Hoja3!A:A,[1]Hoja3!E:E)</f>
        <v>KASSANDRA GUADALUPE HERNANDEZ</v>
      </c>
    </row>
    <row r="48" spans="1:14" x14ac:dyDescent="0.35">
      <c r="A48" s="4" t="s">
        <v>242</v>
      </c>
      <c r="B48" s="4">
        <v>5</v>
      </c>
      <c r="C48" s="4">
        <v>2026</v>
      </c>
      <c r="D48" s="5" t="s">
        <v>250</v>
      </c>
      <c r="E48" s="5" t="s">
        <v>265</v>
      </c>
      <c r="F48" s="5">
        <v>2</v>
      </c>
      <c r="G48" s="5" t="s">
        <v>64</v>
      </c>
      <c r="H48" s="5" t="s">
        <v>245</v>
      </c>
      <c r="I48" s="5"/>
      <c r="J48" s="5" t="s">
        <v>246</v>
      </c>
      <c r="K48" s="5" t="s">
        <v>247</v>
      </c>
      <c r="L48" s="6" t="s">
        <v>248</v>
      </c>
      <c r="M48" s="6" t="s">
        <v>266</v>
      </c>
      <c r="N48" t="str">
        <f>_xlfn.XLOOKUP(G48,[1]Hoja3!A:A,[1]Hoja3!E:E)</f>
        <v>KASSANDRA GUADALUPE HERNANDEZ</v>
      </c>
    </row>
    <row r="49" spans="1:14" x14ac:dyDescent="0.35">
      <c r="A49" s="7" t="s">
        <v>242</v>
      </c>
      <c r="B49" s="4">
        <v>5</v>
      </c>
      <c r="C49" s="7">
        <v>2026</v>
      </c>
      <c r="D49" s="8" t="s">
        <v>250</v>
      </c>
      <c r="E49" s="8" t="s">
        <v>253</v>
      </c>
      <c r="F49" s="8">
        <v>3</v>
      </c>
      <c r="G49" s="8" t="s">
        <v>65</v>
      </c>
      <c r="H49" s="8" t="s">
        <v>245</v>
      </c>
      <c r="I49" s="8"/>
      <c r="J49" s="8" t="s">
        <v>246</v>
      </c>
      <c r="K49" s="8" t="s">
        <v>247</v>
      </c>
      <c r="L49" s="9" t="s">
        <v>248</v>
      </c>
      <c r="M49" s="9" t="s">
        <v>254</v>
      </c>
      <c r="N49" t="str">
        <f>_xlfn.XLOOKUP(G49,[1]Hoja3!A:A,[1]Hoja3!E:E)</f>
        <v>JUAN CARLOS RAMIREZ SIBRIAN</v>
      </c>
    </row>
    <row r="50" spans="1:14" x14ac:dyDescent="0.35">
      <c r="A50" s="4" t="s">
        <v>242</v>
      </c>
      <c r="B50" s="4">
        <v>5</v>
      </c>
      <c r="C50" s="4">
        <v>2026</v>
      </c>
      <c r="D50" s="5" t="s">
        <v>250</v>
      </c>
      <c r="E50" s="5" t="s">
        <v>265</v>
      </c>
      <c r="F50" s="5">
        <v>2</v>
      </c>
      <c r="G50" s="5" t="s">
        <v>67</v>
      </c>
      <c r="H50" s="5" t="s">
        <v>245</v>
      </c>
      <c r="I50" s="5"/>
      <c r="J50" s="5" t="s">
        <v>246</v>
      </c>
      <c r="K50" s="5" t="s">
        <v>247</v>
      </c>
      <c r="L50" s="6" t="s">
        <v>248</v>
      </c>
      <c r="M50" s="6" t="s">
        <v>266</v>
      </c>
      <c r="N50" t="str">
        <f>_xlfn.XLOOKUP(G50,[1]Hoja3!A:A,[1]Hoja3!E:E)</f>
        <v>KASSANDRA GUADALUPE HERNANDEZ</v>
      </c>
    </row>
    <row r="51" spans="1:14" x14ac:dyDescent="0.35">
      <c r="A51" s="7" t="s">
        <v>242</v>
      </c>
      <c r="B51" s="4">
        <v>5</v>
      </c>
      <c r="C51" s="7">
        <v>2026</v>
      </c>
      <c r="D51" s="8" t="s">
        <v>250</v>
      </c>
      <c r="E51" s="8" t="s">
        <v>255</v>
      </c>
      <c r="F51" s="8">
        <v>3</v>
      </c>
      <c r="G51" s="8" t="s">
        <v>68</v>
      </c>
      <c r="H51" s="8" t="s">
        <v>245</v>
      </c>
      <c r="I51" s="8"/>
      <c r="J51" s="8" t="s">
        <v>246</v>
      </c>
      <c r="K51" s="8" t="s">
        <v>247</v>
      </c>
      <c r="L51" s="9" t="s">
        <v>248</v>
      </c>
      <c r="M51" s="9" t="s">
        <v>256</v>
      </c>
      <c r="N51" t="str">
        <f>_xlfn.XLOOKUP(G51,[1]Hoja3!A:A,[1]Hoja3!E:E)</f>
        <v>ELMER NEFTALI FIGUEROA</v>
      </c>
    </row>
    <row r="52" spans="1:14" x14ac:dyDescent="0.35">
      <c r="A52" s="4" t="s">
        <v>242</v>
      </c>
      <c r="B52" s="4">
        <v>5</v>
      </c>
      <c r="C52" s="4">
        <v>2026</v>
      </c>
      <c r="D52" s="5" t="s">
        <v>22</v>
      </c>
      <c r="E52" s="5" t="s">
        <v>259</v>
      </c>
      <c r="F52" s="5">
        <v>2</v>
      </c>
      <c r="G52" s="5" t="s">
        <v>69</v>
      </c>
      <c r="H52" s="5" t="s">
        <v>245</v>
      </c>
      <c r="I52" s="5"/>
      <c r="J52" s="5" t="s">
        <v>246</v>
      </c>
      <c r="K52" s="5" t="s">
        <v>247</v>
      </c>
      <c r="L52" s="6" t="s">
        <v>248</v>
      </c>
      <c r="M52" s="6" t="s">
        <v>261</v>
      </c>
      <c r="N52" t="str">
        <f>_xlfn.XLOOKUP(G52,[1]Hoja3!A:A,[1]Hoja3!E:E)</f>
        <v>JUAN CARLOS RAMIREZ SIBRIAN</v>
      </c>
    </row>
    <row r="53" spans="1:14" x14ac:dyDescent="0.35">
      <c r="A53" s="7" t="s">
        <v>242</v>
      </c>
      <c r="B53" s="4">
        <v>5</v>
      </c>
      <c r="C53" s="7">
        <v>2026</v>
      </c>
      <c r="D53" s="8" t="s">
        <v>5</v>
      </c>
      <c r="E53" s="8" t="s">
        <v>244</v>
      </c>
      <c r="F53" s="8">
        <v>2</v>
      </c>
      <c r="G53" s="8" t="s">
        <v>70</v>
      </c>
      <c r="H53" s="8" t="s">
        <v>245</v>
      </c>
      <c r="I53" s="8"/>
      <c r="J53" s="8" t="s">
        <v>246</v>
      </c>
      <c r="K53" s="8" t="s">
        <v>247</v>
      </c>
      <c r="L53" s="9" t="s">
        <v>248</v>
      </c>
      <c r="M53" s="9" t="s">
        <v>249</v>
      </c>
      <c r="N53" t="str">
        <f>_xlfn.XLOOKUP(G53,[1]Hoja3!A:A,[1]Hoja3!E:E)</f>
        <v>JUAN CARLOS RAMIREZ SIBRIAN</v>
      </c>
    </row>
    <row r="54" spans="1:14" x14ac:dyDescent="0.35">
      <c r="A54" s="4" t="s">
        <v>242</v>
      </c>
      <c r="B54" s="4">
        <v>5</v>
      </c>
      <c r="C54" s="4">
        <v>2026</v>
      </c>
      <c r="D54" s="5" t="s">
        <v>22</v>
      </c>
      <c r="E54" s="5" t="s">
        <v>259</v>
      </c>
      <c r="F54" s="5">
        <v>3</v>
      </c>
      <c r="G54" s="5" t="s">
        <v>82</v>
      </c>
      <c r="H54" s="5" t="s">
        <v>260</v>
      </c>
      <c r="I54" s="5"/>
      <c r="J54" s="5" t="s">
        <v>246</v>
      </c>
      <c r="K54" s="5" t="s">
        <v>247</v>
      </c>
      <c r="L54" s="6" t="s">
        <v>248</v>
      </c>
      <c r="M54" s="6" t="s">
        <v>261</v>
      </c>
      <c r="N54" t="str">
        <f>_xlfn.XLOOKUP(G54,[1]Hoja3!A:A,[1]Hoja3!E:E)</f>
        <v>JOSE ALEXANDER GARCIA SAÑA</v>
      </c>
    </row>
    <row r="55" spans="1:14" x14ac:dyDescent="0.35">
      <c r="A55" s="7" t="s">
        <v>242</v>
      </c>
      <c r="B55" s="4">
        <v>5</v>
      </c>
      <c r="C55" s="7">
        <v>2026</v>
      </c>
      <c r="D55" s="8" t="s">
        <v>5</v>
      </c>
      <c r="E55" s="8" t="s">
        <v>244</v>
      </c>
      <c r="F55" s="8">
        <v>2</v>
      </c>
      <c r="G55" s="8" t="s">
        <v>74</v>
      </c>
      <c r="H55" s="8" t="s">
        <v>245</v>
      </c>
      <c r="I55" s="8"/>
      <c r="J55" s="8" t="s">
        <v>246</v>
      </c>
      <c r="K55" s="8" t="s">
        <v>247</v>
      </c>
      <c r="L55" s="9" t="s">
        <v>248</v>
      </c>
      <c r="M55" s="9" t="s">
        <v>249</v>
      </c>
      <c r="N55" t="str">
        <f>_xlfn.XLOOKUP(G55,[1]Hoja3!A:A,[1]Hoja3!E:E)</f>
        <v>JUAN CARLOS RAMIREZ SIBRIAN</v>
      </c>
    </row>
    <row r="56" spans="1:14" x14ac:dyDescent="0.35">
      <c r="A56" s="4" t="s">
        <v>242</v>
      </c>
      <c r="B56" s="4">
        <v>5</v>
      </c>
      <c r="C56" s="4">
        <v>2026</v>
      </c>
      <c r="D56" s="5" t="s">
        <v>250</v>
      </c>
      <c r="E56" s="5" t="s">
        <v>265</v>
      </c>
      <c r="F56" s="5">
        <v>2</v>
      </c>
      <c r="G56" s="5" t="s">
        <v>75</v>
      </c>
      <c r="H56" s="5" t="s">
        <v>245</v>
      </c>
      <c r="I56" s="5"/>
      <c r="J56" s="5" t="s">
        <v>246</v>
      </c>
      <c r="K56" s="5" t="s">
        <v>247</v>
      </c>
      <c r="L56" s="6" t="s">
        <v>248</v>
      </c>
      <c r="M56" s="6" t="s">
        <v>266</v>
      </c>
      <c r="N56" t="str">
        <f>_xlfn.XLOOKUP(G56,[1]Hoja3!A:A,[1]Hoja3!E:E)</f>
        <v>KASSANDRA GUADALUPE HERNANDEZ</v>
      </c>
    </row>
    <row r="57" spans="1:14" x14ac:dyDescent="0.35">
      <c r="A57" s="7" t="s">
        <v>242</v>
      </c>
      <c r="B57" s="4">
        <v>5</v>
      </c>
      <c r="C57" s="7">
        <v>2026</v>
      </c>
      <c r="D57" s="8" t="s">
        <v>250</v>
      </c>
      <c r="E57" s="8" t="s">
        <v>251</v>
      </c>
      <c r="F57" s="8">
        <v>3</v>
      </c>
      <c r="G57" s="8" t="s">
        <v>78</v>
      </c>
      <c r="H57" s="8" t="s">
        <v>245</v>
      </c>
      <c r="I57" s="8"/>
      <c r="J57" s="8" t="s">
        <v>246</v>
      </c>
      <c r="K57" s="8" t="s">
        <v>247</v>
      </c>
      <c r="L57" s="9" t="s">
        <v>248</v>
      </c>
      <c r="M57" s="9" t="s">
        <v>252</v>
      </c>
      <c r="N57" t="str">
        <f>_xlfn.XLOOKUP(G57,[1]Hoja3!A:A,[1]Hoja3!E:E)</f>
        <v>KASSANDRA GUADALUPE HERNANDEZ</v>
      </c>
    </row>
    <row r="58" spans="1:14" x14ac:dyDescent="0.35">
      <c r="A58" s="4" t="s">
        <v>242</v>
      </c>
      <c r="B58" s="4">
        <v>5</v>
      </c>
      <c r="C58" s="4">
        <v>2026</v>
      </c>
      <c r="D58" s="5" t="s">
        <v>243</v>
      </c>
      <c r="E58" s="5" t="s">
        <v>244</v>
      </c>
      <c r="F58" s="5">
        <v>2</v>
      </c>
      <c r="G58" s="5" t="s">
        <v>79</v>
      </c>
      <c r="H58" s="5" t="s">
        <v>245</v>
      </c>
      <c r="I58" s="5"/>
      <c r="J58" s="5" t="s">
        <v>246</v>
      </c>
      <c r="K58" s="5" t="s">
        <v>247</v>
      </c>
      <c r="L58" s="6" t="s">
        <v>248</v>
      </c>
      <c r="M58" s="6" t="s">
        <v>249</v>
      </c>
      <c r="N58" t="str">
        <f>_xlfn.XLOOKUP(G58,[1]Hoja3!A:A,[1]Hoja3!E:E)</f>
        <v>JUAN CARLOS RAMIREZ SIBRIAN</v>
      </c>
    </row>
    <row r="59" spans="1:14" x14ac:dyDescent="0.35">
      <c r="A59" s="7" t="s">
        <v>242</v>
      </c>
      <c r="B59" s="4">
        <v>5</v>
      </c>
      <c r="C59" s="7">
        <v>2026</v>
      </c>
      <c r="D59" s="8" t="s">
        <v>250</v>
      </c>
      <c r="E59" s="8" t="s">
        <v>255</v>
      </c>
      <c r="F59" s="8">
        <v>3</v>
      </c>
      <c r="G59" s="8" t="s">
        <v>80</v>
      </c>
      <c r="H59" s="8" t="s">
        <v>245</v>
      </c>
      <c r="I59" s="8"/>
      <c r="J59" s="8" t="s">
        <v>246</v>
      </c>
      <c r="K59" s="8" t="s">
        <v>247</v>
      </c>
      <c r="L59" s="9" t="s">
        <v>248</v>
      </c>
      <c r="M59" s="9" t="s">
        <v>256</v>
      </c>
      <c r="N59" t="str">
        <f>_xlfn.XLOOKUP(G59,[1]Hoja3!A:A,[1]Hoja3!E:E)</f>
        <v>ELMER NEFTALI FIGUEROA</v>
      </c>
    </row>
    <row r="60" spans="1:14" x14ac:dyDescent="0.35">
      <c r="A60" s="4" t="s">
        <v>242</v>
      </c>
      <c r="B60" s="4">
        <v>5</v>
      </c>
      <c r="C60" s="4">
        <v>2026</v>
      </c>
      <c r="D60" s="5" t="s">
        <v>250</v>
      </c>
      <c r="E60" s="5" t="s">
        <v>257</v>
      </c>
      <c r="F60" s="5">
        <v>3</v>
      </c>
      <c r="G60" s="5" t="s">
        <v>81</v>
      </c>
      <c r="H60" s="5" t="s">
        <v>245</v>
      </c>
      <c r="I60" s="5"/>
      <c r="J60" s="5" t="s">
        <v>246</v>
      </c>
      <c r="K60" s="5" t="s">
        <v>247</v>
      </c>
      <c r="L60" s="6" t="s">
        <v>248</v>
      </c>
      <c r="M60" s="6" t="s">
        <v>258</v>
      </c>
      <c r="N60" t="str">
        <f>_xlfn.XLOOKUP(G60,[1]Hoja3!A:A,[1]Hoja3!E:E)</f>
        <v>BRYAN ADONIS GALDÁMEZ SALAZAR</v>
      </c>
    </row>
    <row r="61" spans="1:14" x14ac:dyDescent="0.35">
      <c r="A61" s="7" t="s">
        <v>242</v>
      </c>
      <c r="B61" s="4">
        <v>5</v>
      </c>
      <c r="C61" s="7">
        <v>2026</v>
      </c>
      <c r="D61" s="8" t="s">
        <v>22</v>
      </c>
      <c r="E61" s="8" t="s">
        <v>259</v>
      </c>
      <c r="F61" s="8">
        <v>3</v>
      </c>
      <c r="G61" s="8" t="s">
        <v>91</v>
      </c>
      <c r="H61" s="8" t="s">
        <v>260</v>
      </c>
      <c r="I61" s="8"/>
      <c r="J61" s="8" t="s">
        <v>246</v>
      </c>
      <c r="K61" s="8" t="s">
        <v>247</v>
      </c>
      <c r="L61" s="9" t="s">
        <v>248</v>
      </c>
      <c r="M61" s="9" t="s">
        <v>261</v>
      </c>
      <c r="N61" t="str">
        <f>_xlfn.XLOOKUP(G61,[1]Hoja3!A:A,[1]Hoja3!E:E)</f>
        <v>JOSE ALEXANDER GARCIA SAÑA</v>
      </c>
    </row>
    <row r="62" spans="1:14" x14ac:dyDescent="0.35">
      <c r="A62" s="4" t="s">
        <v>242</v>
      </c>
      <c r="B62" s="4">
        <v>5</v>
      </c>
      <c r="C62" s="4">
        <v>2026</v>
      </c>
      <c r="D62" s="5" t="s">
        <v>250</v>
      </c>
      <c r="E62" s="5" t="s">
        <v>257</v>
      </c>
      <c r="F62" s="5">
        <v>3</v>
      </c>
      <c r="G62" s="5" t="s">
        <v>83</v>
      </c>
      <c r="H62" s="5" t="s">
        <v>245</v>
      </c>
      <c r="I62" s="5"/>
      <c r="J62" s="5" t="s">
        <v>246</v>
      </c>
      <c r="K62" s="5" t="s">
        <v>247</v>
      </c>
      <c r="L62" s="6" t="s">
        <v>248</v>
      </c>
      <c r="M62" s="6" t="s">
        <v>258</v>
      </c>
      <c r="N62" t="str">
        <f>_xlfn.XLOOKUP(G62,[1]Hoja3!A:A,[1]Hoja3!E:E)</f>
        <v>BRYAN ADONIS GALDÁMEZ SALAZAR</v>
      </c>
    </row>
    <row r="63" spans="1:14" x14ac:dyDescent="0.35">
      <c r="A63" s="7" t="s">
        <v>242</v>
      </c>
      <c r="B63" s="4">
        <v>5</v>
      </c>
      <c r="C63" s="7">
        <v>2026</v>
      </c>
      <c r="D63" s="8" t="s">
        <v>250</v>
      </c>
      <c r="E63" s="8" t="s">
        <v>255</v>
      </c>
      <c r="F63" s="8">
        <v>3</v>
      </c>
      <c r="G63" s="8" t="s">
        <v>84</v>
      </c>
      <c r="H63" s="8" t="s">
        <v>245</v>
      </c>
      <c r="I63" s="8"/>
      <c r="J63" s="8" t="s">
        <v>246</v>
      </c>
      <c r="K63" s="8" t="s">
        <v>247</v>
      </c>
      <c r="L63" s="9" t="s">
        <v>248</v>
      </c>
      <c r="M63" s="9" t="s">
        <v>256</v>
      </c>
      <c r="N63" t="str">
        <f>_xlfn.XLOOKUP(G63,[1]Hoja3!A:A,[1]Hoja3!E:E)</f>
        <v>ELMER NEFTALI FIGUEROA</v>
      </c>
    </row>
    <row r="64" spans="1:14" x14ac:dyDescent="0.35">
      <c r="A64" s="4" t="s">
        <v>242</v>
      </c>
      <c r="B64" s="4">
        <v>5</v>
      </c>
      <c r="C64" s="4">
        <v>2026</v>
      </c>
      <c r="D64" s="5" t="s">
        <v>250</v>
      </c>
      <c r="E64" s="5" t="s">
        <v>267</v>
      </c>
      <c r="F64" s="5">
        <v>3</v>
      </c>
      <c r="G64" s="5" t="s">
        <v>86</v>
      </c>
      <c r="H64" s="5" t="s">
        <v>245</v>
      </c>
      <c r="I64" s="5"/>
      <c r="J64" s="5" t="s">
        <v>246</v>
      </c>
      <c r="K64" s="5" t="s">
        <v>247</v>
      </c>
      <c r="L64" s="6" t="s">
        <v>248</v>
      </c>
      <c r="M64" s="6" t="s">
        <v>268</v>
      </c>
      <c r="N64" t="str">
        <f>_xlfn.XLOOKUP(G64,[1]Hoja3!A:A,[1]Hoja3!E:E)</f>
        <v>ELMER NEFTALI FIGUEROA</v>
      </c>
    </row>
    <row r="65" spans="1:14" x14ac:dyDescent="0.35">
      <c r="A65" s="7" t="s">
        <v>242</v>
      </c>
      <c r="B65" s="4">
        <v>5</v>
      </c>
      <c r="C65" s="7">
        <v>2026</v>
      </c>
      <c r="D65" s="8" t="s">
        <v>250</v>
      </c>
      <c r="E65" s="8" t="s">
        <v>265</v>
      </c>
      <c r="F65" s="8">
        <v>3</v>
      </c>
      <c r="G65" s="8" t="s">
        <v>88</v>
      </c>
      <c r="H65" s="8" t="s">
        <v>245</v>
      </c>
      <c r="I65" s="8"/>
      <c r="J65" s="8" t="s">
        <v>246</v>
      </c>
      <c r="K65" s="8" t="s">
        <v>247</v>
      </c>
      <c r="L65" s="9" t="s">
        <v>248</v>
      </c>
      <c r="M65" s="9" t="s">
        <v>266</v>
      </c>
      <c r="N65" t="str">
        <f>_xlfn.XLOOKUP(G65,[1]Hoja3!A:A,[1]Hoja3!E:E)</f>
        <v>KASSANDRA GUADALUPE HERNANDEZ</v>
      </c>
    </row>
    <row r="66" spans="1:14" x14ac:dyDescent="0.35">
      <c r="A66" s="4" t="s">
        <v>242</v>
      </c>
      <c r="B66" s="4">
        <v>5</v>
      </c>
      <c r="C66" s="4">
        <v>2026</v>
      </c>
      <c r="D66" s="5" t="s">
        <v>250</v>
      </c>
      <c r="E66" s="5" t="s">
        <v>251</v>
      </c>
      <c r="F66" s="5">
        <v>3</v>
      </c>
      <c r="G66" s="5" t="s">
        <v>89</v>
      </c>
      <c r="H66" s="5" t="s">
        <v>245</v>
      </c>
      <c r="I66" s="5"/>
      <c r="J66" s="5" t="s">
        <v>246</v>
      </c>
      <c r="K66" s="5" t="s">
        <v>247</v>
      </c>
      <c r="L66" s="6" t="s">
        <v>248</v>
      </c>
      <c r="M66" s="6" t="s">
        <v>252</v>
      </c>
      <c r="N66" t="str">
        <f>_xlfn.XLOOKUP(G66,[1]Hoja3!A:A,[1]Hoja3!E:E)</f>
        <v>KASSANDRA GUADALUPE HERNANDEZ</v>
      </c>
    </row>
    <row r="67" spans="1:14" x14ac:dyDescent="0.35">
      <c r="A67" s="7" t="s">
        <v>242</v>
      </c>
      <c r="B67" s="4">
        <v>5</v>
      </c>
      <c r="C67" s="7">
        <v>2026</v>
      </c>
      <c r="D67" s="8" t="s">
        <v>250</v>
      </c>
      <c r="E67" s="8" t="s">
        <v>257</v>
      </c>
      <c r="F67" s="8">
        <v>3</v>
      </c>
      <c r="G67" s="8" t="s">
        <v>90</v>
      </c>
      <c r="H67" s="8" t="s">
        <v>245</v>
      </c>
      <c r="I67" s="8"/>
      <c r="J67" s="8" t="s">
        <v>246</v>
      </c>
      <c r="K67" s="8" t="s">
        <v>247</v>
      </c>
      <c r="L67" s="9" t="s">
        <v>248</v>
      </c>
      <c r="M67" s="9" t="s">
        <v>258</v>
      </c>
      <c r="N67" t="str">
        <f>_xlfn.XLOOKUP(G67,[1]Hoja3!A:A,[1]Hoja3!E:E)</f>
        <v>BRYAN ADONIS GALDÁMEZ SALAZAR</v>
      </c>
    </row>
    <row r="68" spans="1:14" x14ac:dyDescent="0.35">
      <c r="A68" s="4" t="s">
        <v>242</v>
      </c>
      <c r="B68" s="4">
        <v>5</v>
      </c>
      <c r="C68" s="4">
        <v>2026</v>
      </c>
      <c r="D68" s="5" t="s">
        <v>250</v>
      </c>
      <c r="E68" s="5" t="s">
        <v>257</v>
      </c>
      <c r="F68" s="5">
        <v>3</v>
      </c>
      <c r="G68" s="5" t="s">
        <v>92</v>
      </c>
      <c r="H68" s="5" t="s">
        <v>245</v>
      </c>
      <c r="I68" s="5"/>
      <c r="J68" s="5" t="s">
        <v>246</v>
      </c>
      <c r="K68" s="5" t="s">
        <v>247</v>
      </c>
      <c r="L68" s="6" t="s">
        <v>248</v>
      </c>
      <c r="M68" s="6" t="s">
        <v>258</v>
      </c>
      <c r="N68" t="str">
        <f>_xlfn.XLOOKUP(G68,[1]Hoja3!A:A,[1]Hoja3!E:E)</f>
        <v>BRYAN ADONIS GALDÁMEZ SALAZAR</v>
      </c>
    </row>
    <row r="69" spans="1:14" x14ac:dyDescent="0.35">
      <c r="A69" s="7" t="s">
        <v>242</v>
      </c>
      <c r="B69" s="4">
        <v>5</v>
      </c>
      <c r="C69" s="7">
        <v>2026</v>
      </c>
      <c r="D69" s="8" t="s">
        <v>250</v>
      </c>
      <c r="E69" s="8" t="s">
        <v>251</v>
      </c>
      <c r="F69" s="8">
        <v>3</v>
      </c>
      <c r="G69" s="8" t="s">
        <v>93</v>
      </c>
      <c r="H69" s="8" t="s">
        <v>245</v>
      </c>
      <c r="I69" s="8"/>
      <c r="J69" s="8" t="s">
        <v>246</v>
      </c>
      <c r="K69" s="8" t="s">
        <v>247</v>
      </c>
      <c r="L69" s="9" t="s">
        <v>248</v>
      </c>
      <c r="M69" s="9" t="s">
        <v>252</v>
      </c>
      <c r="N69" t="str">
        <f>_xlfn.XLOOKUP(G69,[1]Hoja3!A:A,[1]Hoja3!E:E)</f>
        <v>BRYAN ADONIS GALDÁMEZ SALAZAR</v>
      </c>
    </row>
    <row r="70" spans="1:14" x14ac:dyDescent="0.35">
      <c r="A70" s="4" t="s">
        <v>242</v>
      </c>
      <c r="B70" s="4">
        <v>5</v>
      </c>
      <c r="C70" s="4">
        <v>2026</v>
      </c>
      <c r="D70" s="5" t="s">
        <v>5</v>
      </c>
      <c r="E70" s="5" t="s">
        <v>244</v>
      </c>
      <c r="F70" s="5">
        <v>2</v>
      </c>
      <c r="G70" s="5" t="s">
        <v>94</v>
      </c>
      <c r="H70" s="5" t="s">
        <v>245</v>
      </c>
      <c r="I70" s="5"/>
      <c r="J70" s="5" t="s">
        <v>246</v>
      </c>
      <c r="K70" s="5" t="s">
        <v>247</v>
      </c>
      <c r="L70" s="6" t="s">
        <v>248</v>
      </c>
      <c r="M70" s="6" t="s">
        <v>249</v>
      </c>
      <c r="N70" t="str">
        <f>_xlfn.XLOOKUP(G70,[1]Hoja3!A:A,[1]Hoja3!E:E)</f>
        <v>JUAN CARLOS RAMIREZ SIBRIAN</v>
      </c>
    </row>
    <row r="71" spans="1:14" x14ac:dyDescent="0.35">
      <c r="A71" s="7" t="s">
        <v>242</v>
      </c>
      <c r="B71" s="4">
        <v>5</v>
      </c>
      <c r="C71" s="7">
        <v>2026</v>
      </c>
      <c r="D71" s="8" t="s">
        <v>250</v>
      </c>
      <c r="E71" s="8" t="s">
        <v>262</v>
      </c>
      <c r="F71" s="8">
        <v>3</v>
      </c>
      <c r="G71" s="8" t="s">
        <v>95</v>
      </c>
      <c r="H71" s="8" t="s">
        <v>245</v>
      </c>
      <c r="I71" s="8"/>
      <c r="J71" s="8" t="s">
        <v>246</v>
      </c>
      <c r="K71" s="8" t="s">
        <v>247</v>
      </c>
      <c r="L71" s="9" t="s">
        <v>248</v>
      </c>
      <c r="M71" s="9" t="s">
        <v>263</v>
      </c>
      <c r="N71" t="str">
        <f>_xlfn.XLOOKUP(G71,[1]Hoja3!A:A,[1]Hoja3!E:E)</f>
        <v>BRYAN ADONIS GALDÁMEZ SALAZAR</v>
      </c>
    </row>
    <row r="72" spans="1:14" x14ac:dyDescent="0.35">
      <c r="A72" s="4" t="s">
        <v>242</v>
      </c>
      <c r="B72" s="4">
        <v>5</v>
      </c>
      <c r="C72" s="4">
        <v>2026</v>
      </c>
      <c r="D72" s="5" t="s">
        <v>250</v>
      </c>
      <c r="E72" s="5" t="s">
        <v>255</v>
      </c>
      <c r="F72" s="5">
        <v>3</v>
      </c>
      <c r="G72" s="5" t="s">
        <v>96</v>
      </c>
      <c r="H72" s="5" t="s">
        <v>245</v>
      </c>
      <c r="I72" s="5"/>
      <c r="J72" s="5" t="s">
        <v>246</v>
      </c>
      <c r="K72" s="5" t="s">
        <v>247</v>
      </c>
      <c r="L72" s="6" t="s">
        <v>248</v>
      </c>
      <c r="M72" s="6" t="s">
        <v>256</v>
      </c>
      <c r="N72" t="str">
        <f>_xlfn.XLOOKUP(G72,[1]Hoja3!A:A,[1]Hoja3!E:E)</f>
        <v>ELMER NEFTALI FIGUEROA</v>
      </c>
    </row>
    <row r="73" spans="1:14" x14ac:dyDescent="0.35">
      <c r="A73" s="7" t="s">
        <v>242</v>
      </c>
      <c r="B73" s="4">
        <v>5</v>
      </c>
      <c r="C73" s="7">
        <v>2026</v>
      </c>
      <c r="D73" s="8" t="s">
        <v>250</v>
      </c>
      <c r="E73" s="8" t="s">
        <v>262</v>
      </c>
      <c r="F73" s="8">
        <v>3</v>
      </c>
      <c r="G73" s="8" t="s">
        <v>97</v>
      </c>
      <c r="H73" s="8" t="s">
        <v>245</v>
      </c>
      <c r="I73" s="8"/>
      <c r="J73" s="8" t="s">
        <v>246</v>
      </c>
      <c r="K73" s="8" t="s">
        <v>247</v>
      </c>
      <c r="L73" s="9" t="s">
        <v>248</v>
      </c>
      <c r="M73" s="9" t="s">
        <v>263</v>
      </c>
      <c r="N73" t="str">
        <f>_xlfn.XLOOKUP(G73,[1]Hoja3!A:A,[1]Hoja3!E:E)</f>
        <v>BRYAN ADONIS GALDÁMEZ SALAZAR</v>
      </c>
    </row>
    <row r="74" spans="1:14" x14ac:dyDescent="0.35">
      <c r="A74" s="4" t="s">
        <v>242</v>
      </c>
      <c r="B74" s="4">
        <v>5</v>
      </c>
      <c r="C74" s="4">
        <v>2026</v>
      </c>
      <c r="D74" s="5" t="s">
        <v>22</v>
      </c>
      <c r="E74" s="5" t="s">
        <v>259</v>
      </c>
      <c r="F74" s="5">
        <v>3</v>
      </c>
      <c r="G74" s="5" t="s">
        <v>99</v>
      </c>
      <c r="H74" s="5" t="s">
        <v>260</v>
      </c>
      <c r="I74" s="5"/>
      <c r="J74" s="5" t="s">
        <v>246</v>
      </c>
      <c r="K74" s="5" t="s">
        <v>247</v>
      </c>
      <c r="L74" s="6" t="s">
        <v>248</v>
      </c>
      <c r="M74" s="6" t="s">
        <v>261</v>
      </c>
      <c r="N74" t="str">
        <f>_xlfn.XLOOKUP(G74,[1]Hoja3!A:A,[1]Hoja3!E:E)</f>
        <v>JOSE ALEXANDER GARCIA SAÑA</v>
      </c>
    </row>
    <row r="75" spans="1:14" x14ac:dyDescent="0.35">
      <c r="A75" s="7" t="s">
        <v>242</v>
      </c>
      <c r="B75" s="4">
        <v>5</v>
      </c>
      <c r="C75" s="7">
        <v>2026</v>
      </c>
      <c r="D75" s="8" t="s">
        <v>250</v>
      </c>
      <c r="E75" s="8" t="s">
        <v>251</v>
      </c>
      <c r="F75" s="8">
        <v>3</v>
      </c>
      <c r="G75" s="8" t="s">
        <v>98</v>
      </c>
      <c r="H75" s="8" t="s">
        <v>245</v>
      </c>
      <c r="I75" s="8"/>
      <c r="J75" s="8" t="s">
        <v>246</v>
      </c>
      <c r="K75" s="8" t="s">
        <v>247</v>
      </c>
      <c r="L75" s="9" t="s">
        <v>248</v>
      </c>
      <c r="M75" s="9" t="s">
        <v>252</v>
      </c>
      <c r="N75" t="str">
        <f>_xlfn.XLOOKUP(G75,[1]Hoja3!A:A,[1]Hoja3!E:E)</f>
        <v>KASSANDRA GUADALUPE HERNANDEZ</v>
      </c>
    </row>
    <row r="76" spans="1:14" x14ac:dyDescent="0.35">
      <c r="A76" s="4" t="s">
        <v>242</v>
      </c>
      <c r="B76" s="4">
        <v>5</v>
      </c>
      <c r="C76" s="4">
        <v>2026</v>
      </c>
      <c r="D76" s="5" t="s">
        <v>22</v>
      </c>
      <c r="E76" s="5" t="s">
        <v>259</v>
      </c>
      <c r="F76" s="5">
        <v>3</v>
      </c>
      <c r="G76" s="5" t="s">
        <v>100</v>
      </c>
      <c r="H76" s="5" t="s">
        <v>245</v>
      </c>
      <c r="I76" s="5"/>
      <c r="J76" s="5" t="s">
        <v>246</v>
      </c>
      <c r="K76" s="5" t="s">
        <v>247</v>
      </c>
      <c r="L76" s="6" t="s">
        <v>248</v>
      </c>
      <c r="M76" s="6" t="s">
        <v>261</v>
      </c>
      <c r="N76" t="str">
        <f>_xlfn.XLOOKUP(G76,[1]Hoja3!A:A,[1]Hoja3!E:E)</f>
        <v>JUAN CARLOS RAMIREZ SIBRIAN</v>
      </c>
    </row>
    <row r="77" spans="1:14" x14ac:dyDescent="0.35">
      <c r="A77" s="4" t="s">
        <v>242</v>
      </c>
      <c r="B77" s="4">
        <v>5</v>
      </c>
      <c r="C77" s="4">
        <v>2026</v>
      </c>
      <c r="D77" s="5" t="s">
        <v>250</v>
      </c>
      <c r="E77" s="5" t="s">
        <v>265</v>
      </c>
      <c r="F77" s="5">
        <v>3</v>
      </c>
      <c r="G77" s="5" t="s">
        <v>101</v>
      </c>
      <c r="H77" s="5" t="s">
        <v>245</v>
      </c>
      <c r="I77" s="5"/>
      <c r="J77" s="5" t="s">
        <v>246</v>
      </c>
      <c r="K77" s="5" t="s">
        <v>247</v>
      </c>
      <c r="L77" s="6" t="s">
        <v>248</v>
      </c>
      <c r="M77" s="6" t="s">
        <v>266</v>
      </c>
      <c r="N77" t="str">
        <f>_xlfn.XLOOKUP(G77,[1]Hoja3!A:A,[1]Hoja3!E:E)</f>
        <v>KASSANDRA GUADALUPE HERNANDEZ</v>
      </c>
    </row>
    <row r="78" spans="1:14" x14ac:dyDescent="0.35">
      <c r="A78" s="7" t="s">
        <v>242</v>
      </c>
      <c r="B78" s="4">
        <v>5</v>
      </c>
      <c r="C78" s="7">
        <v>2026</v>
      </c>
      <c r="D78" s="8" t="s">
        <v>22</v>
      </c>
      <c r="E78" s="8" t="s">
        <v>259</v>
      </c>
      <c r="F78" s="8">
        <v>3</v>
      </c>
      <c r="G78" s="8" t="s">
        <v>155</v>
      </c>
      <c r="H78" s="8" t="s">
        <v>260</v>
      </c>
      <c r="I78" s="8"/>
      <c r="J78" s="8" t="s">
        <v>246</v>
      </c>
      <c r="K78" s="8" t="s">
        <v>247</v>
      </c>
      <c r="L78" s="9" t="s">
        <v>248</v>
      </c>
      <c r="M78" s="9" t="s">
        <v>261</v>
      </c>
      <c r="N78" t="str">
        <f>_xlfn.XLOOKUP(G78,[1]Hoja3!A:A,[1]Hoja3!E:E)</f>
        <v>JOSE ALEXANDER GARCIA SAÑA</v>
      </c>
    </row>
    <row r="79" spans="1:14" x14ac:dyDescent="0.35">
      <c r="A79" s="4" t="s">
        <v>242</v>
      </c>
      <c r="B79" s="4">
        <v>5</v>
      </c>
      <c r="C79" s="4">
        <v>2026</v>
      </c>
      <c r="D79" s="5" t="s">
        <v>250</v>
      </c>
      <c r="E79" s="5" t="s">
        <v>257</v>
      </c>
      <c r="F79" s="5">
        <v>3</v>
      </c>
      <c r="G79" s="5" t="s">
        <v>127</v>
      </c>
      <c r="H79" s="5" t="s">
        <v>245</v>
      </c>
      <c r="I79" s="5"/>
      <c r="J79" s="5" t="s">
        <v>246</v>
      </c>
      <c r="K79" s="5" t="s">
        <v>247</v>
      </c>
      <c r="L79" s="6" t="s">
        <v>248</v>
      </c>
      <c r="M79" s="6" t="s">
        <v>258</v>
      </c>
      <c r="N79" t="str">
        <f>_xlfn.XLOOKUP(G79,[1]Hoja3!A:A,[1]Hoja3!E:E)</f>
        <v>ELMER NEFTALI FIGUEROA</v>
      </c>
    </row>
    <row r="80" spans="1:14" x14ac:dyDescent="0.35">
      <c r="A80" s="7" t="s">
        <v>242</v>
      </c>
      <c r="B80" s="4">
        <v>5</v>
      </c>
      <c r="C80" s="7">
        <v>2026</v>
      </c>
      <c r="D80" s="8" t="s">
        <v>250</v>
      </c>
      <c r="E80" s="8" t="s">
        <v>253</v>
      </c>
      <c r="F80" s="8">
        <v>1</v>
      </c>
      <c r="G80" s="8" t="s">
        <v>141</v>
      </c>
      <c r="H80" s="8" t="s">
        <v>245</v>
      </c>
      <c r="I80" s="8"/>
      <c r="J80" s="8" t="s">
        <v>246</v>
      </c>
      <c r="K80" s="8" t="s">
        <v>247</v>
      </c>
      <c r="L80" s="9" t="s">
        <v>248</v>
      </c>
      <c r="M80" s="9" t="s">
        <v>254</v>
      </c>
      <c r="N80" t="str">
        <f>_xlfn.XLOOKUP(G80,[1]Hoja3!A:A,[1]Hoja3!E:E)</f>
        <v>JUAN CARLOS RAMIREZ SIBRIAN</v>
      </c>
    </row>
    <row r="81" spans="1:14" x14ac:dyDescent="0.35">
      <c r="A81" s="4" t="s">
        <v>242</v>
      </c>
      <c r="B81" s="4">
        <v>5</v>
      </c>
      <c r="C81" s="4">
        <v>2026</v>
      </c>
      <c r="D81" s="5" t="s">
        <v>250</v>
      </c>
      <c r="E81" s="5" t="s">
        <v>253</v>
      </c>
      <c r="F81" s="5">
        <v>3</v>
      </c>
      <c r="G81" s="5" t="s">
        <v>149</v>
      </c>
      <c r="H81" s="5" t="s">
        <v>245</v>
      </c>
      <c r="I81" s="5"/>
      <c r="J81" s="5" t="s">
        <v>246</v>
      </c>
      <c r="K81" s="5" t="s">
        <v>247</v>
      </c>
      <c r="L81" s="6" t="s">
        <v>248</v>
      </c>
      <c r="M81" s="6" t="s">
        <v>254</v>
      </c>
      <c r="N81" t="str">
        <f>_xlfn.XLOOKUP(G81,[1]Hoja3!A:A,[1]Hoja3!E:E)</f>
        <v>JUAN CARLOS RAMIREZ SIBRIAN</v>
      </c>
    </row>
    <row r="82" spans="1:14" x14ac:dyDescent="0.35">
      <c r="A82" s="7" t="s">
        <v>242</v>
      </c>
      <c r="B82" s="4">
        <v>5</v>
      </c>
      <c r="C82" s="7">
        <v>2026</v>
      </c>
      <c r="D82" s="8" t="s">
        <v>22</v>
      </c>
      <c r="E82" s="8" t="s">
        <v>259</v>
      </c>
      <c r="F82" s="8">
        <v>3</v>
      </c>
      <c r="G82" s="8" t="s">
        <v>166</v>
      </c>
      <c r="H82" s="8" t="s">
        <v>260</v>
      </c>
      <c r="I82" s="8"/>
      <c r="J82" s="8" t="s">
        <v>246</v>
      </c>
      <c r="K82" s="8" t="s">
        <v>247</v>
      </c>
      <c r="L82" s="9" t="s">
        <v>248</v>
      </c>
      <c r="M82" s="9" t="s">
        <v>261</v>
      </c>
      <c r="N82" t="str">
        <f>_xlfn.XLOOKUP(G82,[1]Hoja3!A:A,[1]Hoja3!E:E)</f>
        <v>JOSE ALEXANDER GARCIA SAÑA</v>
      </c>
    </row>
    <row r="83" spans="1:14" x14ac:dyDescent="0.35">
      <c r="A83" s="4" t="s">
        <v>242</v>
      </c>
      <c r="B83" s="4">
        <v>5</v>
      </c>
      <c r="C83" s="4">
        <v>2026</v>
      </c>
      <c r="D83" s="5" t="s">
        <v>22</v>
      </c>
      <c r="E83" s="5" t="s">
        <v>259</v>
      </c>
      <c r="F83" s="5">
        <v>3</v>
      </c>
      <c r="G83" s="5" t="s">
        <v>169</v>
      </c>
      <c r="H83" s="5" t="s">
        <v>260</v>
      </c>
      <c r="I83" s="5"/>
      <c r="J83" s="5" t="s">
        <v>246</v>
      </c>
      <c r="K83" s="5" t="s">
        <v>247</v>
      </c>
      <c r="L83" s="6" t="s">
        <v>248</v>
      </c>
      <c r="M83" s="6" t="s">
        <v>261</v>
      </c>
      <c r="N83" t="str">
        <f>_xlfn.XLOOKUP(G83,[1]Hoja3!A:A,[1]Hoja3!E:E)</f>
        <v>JOSE ALEXANDER GARCIA SAÑA</v>
      </c>
    </row>
    <row r="84" spans="1:14" x14ac:dyDescent="0.35">
      <c r="A84" s="7" t="s">
        <v>242</v>
      </c>
      <c r="B84" s="4">
        <v>5</v>
      </c>
      <c r="C84" s="7">
        <v>2026</v>
      </c>
      <c r="D84" s="8" t="s">
        <v>22</v>
      </c>
      <c r="E84" s="8" t="s">
        <v>259</v>
      </c>
      <c r="F84" s="8">
        <v>3</v>
      </c>
      <c r="G84" s="8" t="s">
        <v>172</v>
      </c>
      <c r="H84" s="8" t="s">
        <v>260</v>
      </c>
      <c r="I84" s="8"/>
      <c r="J84" s="8" t="s">
        <v>246</v>
      </c>
      <c r="K84" s="8" t="s">
        <v>247</v>
      </c>
      <c r="L84" s="9" t="s">
        <v>248</v>
      </c>
      <c r="M84" s="9" t="s">
        <v>261</v>
      </c>
      <c r="N84" t="str">
        <f>_xlfn.XLOOKUP(G84,[1]Hoja3!A:A,[1]Hoja3!E:E)</f>
        <v>JOSE ALEXANDER GARCIA SAÑA</v>
      </c>
    </row>
    <row r="85" spans="1:14" x14ac:dyDescent="0.35">
      <c r="A85" s="4" t="s">
        <v>242</v>
      </c>
      <c r="B85" s="4">
        <v>5</v>
      </c>
      <c r="C85" s="4">
        <v>2026</v>
      </c>
      <c r="D85" s="5" t="s">
        <v>22</v>
      </c>
      <c r="E85" s="5" t="s">
        <v>259</v>
      </c>
      <c r="F85" s="5">
        <v>3</v>
      </c>
      <c r="G85" s="5" t="s">
        <v>175</v>
      </c>
      <c r="H85" s="5" t="s">
        <v>260</v>
      </c>
      <c r="I85" s="5"/>
      <c r="J85" s="5" t="s">
        <v>246</v>
      </c>
      <c r="K85" s="5" t="s">
        <v>247</v>
      </c>
      <c r="L85" s="6" t="s">
        <v>248</v>
      </c>
      <c r="M85" s="6" t="s">
        <v>261</v>
      </c>
      <c r="N85" t="str">
        <f>_xlfn.XLOOKUP(G85,[1]Hoja3!A:A,[1]Hoja3!E:E)</f>
        <v>JOSE ALEXANDER GARCIA SAÑA</v>
      </c>
    </row>
    <row r="86" spans="1:14" x14ac:dyDescent="0.35">
      <c r="A86" s="7" t="s">
        <v>242</v>
      </c>
      <c r="B86" s="4">
        <v>5</v>
      </c>
      <c r="C86" s="7">
        <v>2026</v>
      </c>
      <c r="D86" s="8" t="s">
        <v>22</v>
      </c>
      <c r="E86" s="8" t="s">
        <v>259</v>
      </c>
      <c r="F86" s="8">
        <v>3</v>
      </c>
      <c r="G86" s="8" t="s">
        <v>184</v>
      </c>
      <c r="H86" s="8" t="s">
        <v>260</v>
      </c>
      <c r="I86" s="8"/>
      <c r="J86" s="8" t="s">
        <v>246</v>
      </c>
      <c r="K86" s="8" t="s">
        <v>247</v>
      </c>
      <c r="L86" s="9" t="s">
        <v>248</v>
      </c>
      <c r="M86" s="9" t="s">
        <v>261</v>
      </c>
      <c r="N86" t="str">
        <f>_xlfn.XLOOKUP(G86,[1]Hoja3!A:A,[1]Hoja3!E:E)</f>
        <v>JOSE ALEXANDER GARCIA SAÑA</v>
      </c>
    </row>
    <row r="87" spans="1:14" x14ac:dyDescent="0.35">
      <c r="A87" s="4" t="s">
        <v>242</v>
      </c>
      <c r="B87" s="4">
        <v>5</v>
      </c>
      <c r="C87" s="4">
        <v>2026</v>
      </c>
      <c r="D87" s="5" t="s">
        <v>22</v>
      </c>
      <c r="E87" s="5" t="s">
        <v>259</v>
      </c>
      <c r="F87" s="5">
        <v>3</v>
      </c>
      <c r="G87" s="5" t="s">
        <v>216</v>
      </c>
      <c r="H87" s="5" t="s">
        <v>260</v>
      </c>
      <c r="I87" s="5"/>
      <c r="J87" s="5" t="s">
        <v>246</v>
      </c>
      <c r="K87" s="5" t="s">
        <v>247</v>
      </c>
      <c r="L87" s="6" t="s">
        <v>248</v>
      </c>
      <c r="M87" s="6" t="s">
        <v>261</v>
      </c>
      <c r="N87" t="str">
        <f>_xlfn.XLOOKUP(G87,[1]Hoja3!A:A,[1]Hoja3!E:E)</f>
        <v>JOSE ALEXANDER GARCIA SAÑA</v>
      </c>
    </row>
    <row r="88" spans="1:14" x14ac:dyDescent="0.35">
      <c r="A88" s="7" t="s">
        <v>242</v>
      </c>
      <c r="B88" s="4">
        <v>5</v>
      </c>
      <c r="C88" s="7">
        <v>2026</v>
      </c>
      <c r="D88" s="8" t="s">
        <v>250</v>
      </c>
      <c r="E88" s="8" t="s">
        <v>265</v>
      </c>
      <c r="F88" s="8">
        <v>1</v>
      </c>
      <c r="G88" s="8" t="s">
        <v>201</v>
      </c>
      <c r="H88" s="8" t="s">
        <v>245</v>
      </c>
      <c r="I88" s="8"/>
      <c r="J88" s="8" t="s">
        <v>246</v>
      </c>
      <c r="K88" s="8" t="s">
        <v>247</v>
      </c>
      <c r="L88" s="9" t="s">
        <v>248</v>
      </c>
      <c r="M88" s="9" t="s">
        <v>266</v>
      </c>
      <c r="N88" t="str">
        <f>_xlfn.XLOOKUP(G88,[1]Hoja3!A:A,[1]Hoja3!E:E)</f>
        <v>KASSANDRA GUADALUPE HERNANDEZ</v>
      </c>
    </row>
    <row r="89" spans="1:14" x14ac:dyDescent="0.35">
      <c r="A89" s="4" t="s">
        <v>242</v>
      </c>
      <c r="B89" s="4">
        <v>5</v>
      </c>
      <c r="C89" s="4">
        <v>2026</v>
      </c>
      <c r="D89" s="5" t="s">
        <v>250</v>
      </c>
      <c r="E89" s="5" t="s">
        <v>251</v>
      </c>
      <c r="F89" s="5">
        <v>1</v>
      </c>
      <c r="G89" s="5" t="s">
        <v>204</v>
      </c>
      <c r="H89" s="5" t="s">
        <v>245</v>
      </c>
      <c r="I89" s="5"/>
      <c r="J89" s="5" t="s">
        <v>246</v>
      </c>
      <c r="K89" s="5" t="s">
        <v>247</v>
      </c>
      <c r="L89" s="6" t="s">
        <v>248</v>
      </c>
      <c r="M89" s="6" t="s">
        <v>252</v>
      </c>
      <c r="N89" t="str">
        <f>_xlfn.XLOOKUP(G89,[1]Hoja3!A:A,[1]Hoja3!E:E)</f>
        <v>ELMER NEFTALI FIGUEROA</v>
      </c>
    </row>
    <row r="90" spans="1:14" x14ac:dyDescent="0.35">
      <c r="A90" s="7" t="s">
        <v>242</v>
      </c>
      <c r="B90" s="4">
        <v>5</v>
      </c>
      <c r="C90" s="7">
        <v>2026</v>
      </c>
      <c r="D90" s="8" t="s">
        <v>250</v>
      </c>
      <c r="E90" s="8" t="s">
        <v>257</v>
      </c>
      <c r="F90" s="8">
        <v>1</v>
      </c>
      <c r="G90" s="8" t="s">
        <v>209</v>
      </c>
      <c r="H90" s="8" t="s">
        <v>245</v>
      </c>
      <c r="I90" s="8"/>
      <c r="J90" s="8" t="s">
        <v>246</v>
      </c>
      <c r="K90" s="8" t="s">
        <v>247</v>
      </c>
      <c r="L90" s="9" t="s">
        <v>248</v>
      </c>
      <c r="M90" s="9" t="s">
        <v>258</v>
      </c>
      <c r="N90" t="str">
        <f>_xlfn.XLOOKUP(G90,[1]Hoja3!A:A,[1]Hoja3!E:E)</f>
        <v>BRYAN ADONIS GALDÁMEZ SALAZAR</v>
      </c>
    </row>
    <row r="91" spans="1:14" x14ac:dyDescent="0.35">
      <c r="A91" s="4" t="s">
        <v>242</v>
      </c>
      <c r="B91" s="4">
        <v>5</v>
      </c>
      <c r="C91" s="4">
        <v>2026</v>
      </c>
      <c r="D91" s="5" t="s">
        <v>250</v>
      </c>
      <c r="E91" s="5" t="s">
        <v>253</v>
      </c>
      <c r="F91" s="5">
        <v>3</v>
      </c>
      <c r="G91" s="5" t="s">
        <v>271</v>
      </c>
      <c r="H91" s="5" t="s">
        <v>245</v>
      </c>
      <c r="I91" s="5"/>
      <c r="J91" s="5" t="s">
        <v>246</v>
      </c>
      <c r="K91" s="5" t="s">
        <v>247</v>
      </c>
      <c r="L91" s="6" t="s">
        <v>248</v>
      </c>
      <c r="M91" s="6" t="s">
        <v>254</v>
      </c>
      <c r="N91" t="str">
        <f>_xlfn.XLOOKUP(G91,[1]Hoja3!A:A,[1]Hoja3!E:E)</f>
        <v>JUAN CARLOS RAMIREZ SIBRIAN</v>
      </c>
    </row>
    <row r="92" spans="1:14" x14ac:dyDescent="0.35">
      <c r="A92" s="7" t="s">
        <v>242</v>
      </c>
      <c r="B92" s="4">
        <v>5</v>
      </c>
      <c r="C92" s="7">
        <v>2026</v>
      </c>
      <c r="D92" s="8" t="s">
        <v>250</v>
      </c>
      <c r="E92" s="8" t="s">
        <v>251</v>
      </c>
      <c r="F92" s="8">
        <v>3</v>
      </c>
      <c r="G92" s="8" t="s">
        <v>129</v>
      </c>
      <c r="H92" s="8" t="s">
        <v>245</v>
      </c>
      <c r="I92" s="8"/>
      <c r="J92" s="8" t="s">
        <v>246</v>
      </c>
      <c r="K92" s="8" t="s">
        <v>247</v>
      </c>
      <c r="L92" s="9" t="s">
        <v>248</v>
      </c>
      <c r="M92" s="9" t="s">
        <v>252</v>
      </c>
      <c r="N92" t="str">
        <f>_xlfn.XLOOKUP(G92,[1]Hoja3!A:A,[1]Hoja3!E:E)</f>
        <v>ELMER NEFTALI FIGUEROA</v>
      </c>
    </row>
    <row r="93" spans="1:14" x14ac:dyDescent="0.35">
      <c r="A93" s="4" t="s">
        <v>242</v>
      </c>
      <c r="B93" s="4">
        <v>5</v>
      </c>
      <c r="C93" s="4">
        <v>2026</v>
      </c>
      <c r="D93" s="5" t="s">
        <v>250</v>
      </c>
      <c r="E93" s="5" t="s">
        <v>257</v>
      </c>
      <c r="F93" s="5">
        <v>3</v>
      </c>
      <c r="G93" s="5" t="s">
        <v>272</v>
      </c>
      <c r="H93" s="5" t="s">
        <v>245</v>
      </c>
      <c r="I93" s="5"/>
      <c r="J93" s="5" t="s">
        <v>246</v>
      </c>
      <c r="K93" s="5" t="s">
        <v>247</v>
      </c>
      <c r="L93" s="6" t="s">
        <v>248</v>
      </c>
      <c r="M93" s="6" t="s">
        <v>258</v>
      </c>
      <c r="N93" t="str">
        <f>_xlfn.XLOOKUP(G93,[1]Hoja3!A:A,[1]Hoja3!E:E)</f>
        <v>BRYAN ADONIS GALDÁMEZ SALAZAR</v>
      </c>
    </row>
    <row r="94" spans="1:14" x14ac:dyDescent="0.35">
      <c r="A94" s="7" t="s">
        <v>242</v>
      </c>
      <c r="B94" s="4">
        <v>5</v>
      </c>
      <c r="C94" s="7">
        <v>2026</v>
      </c>
      <c r="D94" s="8" t="s">
        <v>250</v>
      </c>
      <c r="E94" s="8" t="s">
        <v>262</v>
      </c>
      <c r="F94" s="8">
        <v>3</v>
      </c>
      <c r="G94" s="8" t="s">
        <v>153</v>
      </c>
      <c r="H94" s="8" t="s">
        <v>245</v>
      </c>
      <c r="I94" s="8"/>
      <c r="J94" s="8" t="s">
        <v>246</v>
      </c>
      <c r="K94" s="8" t="s">
        <v>247</v>
      </c>
      <c r="L94" s="9" t="s">
        <v>248</v>
      </c>
      <c r="M94" s="9" t="s">
        <v>263</v>
      </c>
      <c r="N94" t="str">
        <f>_xlfn.XLOOKUP(G94,[1]Hoja3!A:A,[1]Hoja3!E:E)</f>
        <v>BRYAN ADONIS GALDÁMEZ SALAZAR</v>
      </c>
    </row>
    <row r="95" spans="1:14" x14ac:dyDescent="0.35">
      <c r="A95" s="4" t="s">
        <v>242</v>
      </c>
      <c r="B95" s="4">
        <v>5</v>
      </c>
      <c r="C95" s="4">
        <v>2026</v>
      </c>
      <c r="D95" s="5" t="s">
        <v>250</v>
      </c>
      <c r="E95" s="5" t="s">
        <v>265</v>
      </c>
      <c r="F95" s="5">
        <v>3</v>
      </c>
      <c r="G95" s="5" t="s">
        <v>116</v>
      </c>
      <c r="H95" s="5" t="s">
        <v>245</v>
      </c>
      <c r="I95" s="5"/>
      <c r="J95" s="5" t="s">
        <v>246</v>
      </c>
      <c r="K95" s="5" t="s">
        <v>247</v>
      </c>
      <c r="L95" s="6" t="s">
        <v>248</v>
      </c>
      <c r="M95" s="6" t="s">
        <v>266</v>
      </c>
      <c r="N95" t="str">
        <f>_xlfn.XLOOKUP(G95,[1]Hoja3!A:A,[1]Hoja3!E:E)</f>
        <v>ELMER NEFTALI FIGUEROA</v>
      </c>
    </row>
    <row r="96" spans="1:14" x14ac:dyDescent="0.35">
      <c r="A96" s="7" t="s">
        <v>242</v>
      </c>
      <c r="B96" s="4">
        <v>5</v>
      </c>
      <c r="C96" s="7">
        <v>2026</v>
      </c>
      <c r="D96" s="8" t="s">
        <v>250</v>
      </c>
      <c r="E96" s="8" t="s">
        <v>253</v>
      </c>
      <c r="F96" s="8">
        <v>3</v>
      </c>
      <c r="G96" s="8" t="s">
        <v>227</v>
      </c>
      <c r="H96" s="8" t="s">
        <v>245</v>
      </c>
      <c r="I96" s="8"/>
      <c r="J96" s="8" t="s">
        <v>246</v>
      </c>
      <c r="K96" s="8" t="s">
        <v>247</v>
      </c>
      <c r="L96" s="9" t="s">
        <v>248</v>
      </c>
      <c r="M96" s="9" t="s">
        <v>254</v>
      </c>
      <c r="N96" t="str">
        <f>_xlfn.XLOOKUP(G96,[1]Hoja3!A:A,[1]Hoja3!E:E)</f>
        <v>JUAN CARLOS RAMIREZ SIBRIAN</v>
      </c>
    </row>
    <row r="97" spans="1:14" x14ac:dyDescent="0.35">
      <c r="A97" s="4" t="s">
        <v>242</v>
      </c>
      <c r="B97" s="4">
        <v>5</v>
      </c>
      <c r="C97" s="4">
        <v>2026</v>
      </c>
      <c r="D97" s="5" t="s">
        <v>250</v>
      </c>
      <c r="E97" s="5" t="s">
        <v>251</v>
      </c>
      <c r="F97" s="5">
        <v>2</v>
      </c>
      <c r="G97" s="5" t="s">
        <v>45</v>
      </c>
      <c r="H97" s="5" t="s">
        <v>245</v>
      </c>
      <c r="I97" s="5"/>
      <c r="J97" s="5" t="s">
        <v>246</v>
      </c>
      <c r="K97" s="5" t="s">
        <v>247</v>
      </c>
      <c r="L97" s="6" t="s">
        <v>248</v>
      </c>
      <c r="M97" s="6" t="s">
        <v>252</v>
      </c>
      <c r="N97" t="str">
        <f>_xlfn.XLOOKUP(G97,[1]Hoja3!A:A,[1]Hoja3!E:E)</f>
        <v>KASSANDRA GUADALUPE HERNANDEZ</v>
      </c>
    </row>
    <row r="98" spans="1:14" x14ac:dyDescent="0.35">
      <c r="A98" s="7" t="s">
        <v>242</v>
      </c>
      <c r="B98" s="4">
        <v>5</v>
      </c>
      <c r="C98" s="7">
        <v>2026</v>
      </c>
      <c r="D98" s="8" t="s">
        <v>250</v>
      </c>
      <c r="E98" s="8" t="s">
        <v>251</v>
      </c>
      <c r="F98" s="8">
        <v>3</v>
      </c>
      <c r="G98" s="8" t="s">
        <v>26</v>
      </c>
      <c r="H98" s="8" t="s">
        <v>245</v>
      </c>
      <c r="I98" s="8"/>
      <c r="J98" s="8" t="s">
        <v>246</v>
      </c>
      <c r="K98" s="8" t="s">
        <v>247</v>
      </c>
      <c r="L98" s="9" t="s">
        <v>248</v>
      </c>
      <c r="M98" s="9" t="s">
        <v>252</v>
      </c>
      <c r="N98" t="str">
        <f>_xlfn.XLOOKUP(G98,[1]Hoja3!A:A,[1]Hoja3!E:E)</f>
        <v>ELMER NEFTALI FIGUEROA</v>
      </c>
    </row>
    <row r="99" spans="1:14" x14ac:dyDescent="0.35">
      <c r="A99" s="4" t="s">
        <v>242</v>
      </c>
      <c r="B99" s="4">
        <v>5</v>
      </c>
      <c r="C99" s="4">
        <v>2026</v>
      </c>
      <c r="D99" s="5" t="s">
        <v>250</v>
      </c>
      <c r="E99" s="5" t="s">
        <v>253</v>
      </c>
      <c r="F99" s="5">
        <v>3</v>
      </c>
      <c r="G99" s="5" t="s">
        <v>273</v>
      </c>
      <c r="H99" s="5" t="s">
        <v>245</v>
      </c>
      <c r="I99" s="5"/>
      <c r="J99" s="5" t="s">
        <v>246</v>
      </c>
      <c r="K99" s="5" t="s">
        <v>247</v>
      </c>
      <c r="L99" s="6" t="s">
        <v>248</v>
      </c>
      <c r="M99" s="6" t="s">
        <v>254</v>
      </c>
      <c r="N99" t="str">
        <f>_xlfn.XLOOKUP(G99,[1]Hoja3!A:A,[1]Hoja3!E:E)</f>
        <v>ELMER NEFTALI FIGUEROA</v>
      </c>
    </row>
    <row r="100" spans="1:14" x14ac:dyDescent="0.35">
      <c r="A100" s="7" t="s">
        <v>242</v>
      </c>
      <c r="B100" s="4">
        <v>5</v>
      </c>
      <c r="C100" s="7">
        <v>2026</v>
      </c>
      <c r="D100" s="8" t="s">
        <v>250</v>
      </c>
      <c r="E100" s="8" t="s">
        <v>253</v>
      </c>
      <c r="F100" s="8">
        <v>3</v>
      </c>
      <c r="G100" s="8" t="s">
        <v>274</v>
      </c>
      <c r="H100" s="8" t="s">
        <v>245</v>
      </c>
      <c r="I100" s="8"/>
      <c r="J100" s="8" t="s">
        <v>246</v>
      </c>
      <c r="K100" s="8" t="s">
        <v>247</v>
      </c>
      <c r="L100" s="9" t="s">
        <v>248</v>
      </c>
      <c r="M100" s="9" t="s">
        <v>254</v>
      </c>
      <c r="N100" t="str">
        <f>_xlfn.XLOOKUP(G100,[1]Hoja3!A:A,[1]Hoja3!E:E)</f>
        <v>ELMER NEFTALI FIGUEROA</v>
      </c>
    </row>
    <row r="101" spans="1:14" x14ac:dyDescent="0.35">
      <c r="A101" s="4" t="s">
        <v>242</v>
      </c>
      <c r="B101" s="4">
        <v>5</v>
      </c>
      <c r="C101" s="4">
        <v>2026</v>
      </c>
      <c r="D101" s="5" t="s">
        <v>250</v>
      </c>
      <c r="E101" s="5" t="s">
        <v>253</v>
      </c>
      <c r="F101" s="5">
        <v>3</v>
      </c>
      <c r="G101" s="5" t="s">
        <v>28</v>
      </c>
      <c r="H101" s="5" t="s">
        <v>245</v>
      </c>
      <c r="I101" s="5"/>
      <c r="J101" s="5" t="s">
        <v>246</v>
      </c>
      <c r="K101" s="5" t="s">
        <v>247</v>
      </c>
      <c r="L101" s="6" t="s">
        <v>248</v>
      </c>
      <c r="M101" s="6" t="s">
        <v>254</v>
      </c>
      <c r="N101" t="str">
        <f>_xlfn.XLOOKUP(G101,[1]Hoja3!A:A,[1]Hoja3!E:E)</f>
        <v>ELMER NEFTALI FIGUEROA</v>
      </c>
    </row>
    <row r="102" spans="1:14" x14ac:dyDescent="0.35">
      <c r="A102" s="1" t="s">
        <v>101</v>
      </c>
      <c r="B102" t="s">
        <v>102</v>
      </c>
      <c r="C102" t="s">
        <v>103</v>
      </c>
      <c r="D102" t="s">
        <v>9</v>
      </c>
      <c r="E102" t="s">
        <v>35</v>
      </c>
      <c r="F102" t="s">
        <v>6</v>
      </c>
      <c r="N102">
        <f>_xlfn.XLOOKUP(G102,[1]Hoja3!A:A,[1]Hoja3!E:E)</f>
        <v>0</v>
      </c>
    </row>
    <row r="103" spans="1:14" x14ac:dyDescent="0.35">
      <c r="A103" s="1" t="s">
        <v>104</v>
      </c>
      <c r="B103" t="s">
        <v>105</v>
      </c>
      <c r="C103" t="s">
        <v>106</v>
      </c>
      <c r="D103" t="s">
        <v>12</v>
      </c>
      <c r="E103" t="s">
        <v>87</v>
      </c>
      <c r="F103" t="s">
        <v>6</v>
      </c>
      <c r="N103">
        <f>_xlfn.XLOOKUP(G103,[1]Hoja3!A:A,[1]Hoja3!E:E)</f>
        <v>0</v>
      </c>
    </row>
    <row r="104" spans="1:14" x14ac:dyDescent="0.35">
      <c r="A104" s="1" t="s">
        <v>107</v>
      </c>
      <c r="B104" t="s">
        <v>108</v>
      </c>
      <c r="C104" t="s">
        <v>109</v>
      </c>
      <c r="D104" t="s">
        <v>9</v>
      </c>
      <c r="E104" t="s">
        <v>35</v>
      </c>
      <c r="F104" t="s">
        <v>6</v>
      </c>
      <c r="N104">
        <f>_xlfn.XLOOKUP(G104,[1]Hoja3!A:A,[1]Hoja3!E:E)</f>
        <v>0</v>
      </c>
    </row>
    <row r="105" spans="1:14" x14ac:dyDescent="0.35">
      <c r="A105" s="1" t="s">
        <v>110</v>
      </c>
      <c r="B105" t="s">
        <v>111</v>
      </c>
      <c r="C105" t="s">
        <v>112</v>
      </c>
      <c r="D105" t="s">
        <v>15</v>
      </c>
      <c r="E105" t="s">
        <v>55</v>
      </c>
      <c r="F105" t="s">
        <v>6</v>
      </c>
      <c r="N105">
        <f>_xlfn.XLOOKUP(G105,[1]Hoja3!A:A,[1]Hoja3!E:E)</f>
        <v>0</v>
      </c>
    </row>
    <row r="106" spans="1:14" x14ac:dyDescent="0.35">
      <c r="A106" s="1" t="s">
        <v>113</v>
      </c>
      <c r="B106" t="s">
        <v>114</v>
      </c>
      <c r="C106" t="s">
        <v>115</v>
      </c>
      <c r="D106" t="s">
        <v>21</v>
      </c>
      <c r="E106" t="s">
        <v>55</v>
      </c>
      <c r="F106" t="s">
        <v>23</v>
      </c>
      <c r="N106">
        <f>_xlfn.XLOOKUP(G106,[1]Hoja3!A:A,[1]Hoja3!E:E)</f>
        <v>0</v>
      </c>
    </row>
    <row r="107" spans="1:14" x14ac:dyDescent="0.35">
      <c r="A107" s="1" t="s">
        <v>155</v>
      </c>
      <c r="B107" t="s">
        <v>156</v>
      </c>
      <c r="C107" t="s">
        <v>157</v>
      </c>
      <c r="D107" t="s">
        <v>21</v>
      </c>
      <c r="E107" t="s">
        <v>22</v>
      </c>
      <c r="F107" t="s">
        <v>23</v>
      </c>
      <c r="N107">
        <f>_xlfn.XLOOKUP(G107,[1]Hoja3!A:A,[1]Hoja3!E:E)</f>
        <v>0</v>
      </c>
    </row>
    <row r="108" spans="1:14" x14ac:dyDescent="0.35">
      <c r="A108" s="1" t="s">
        <v>116</v>
      </c>
      <c r="B108" t="s">
        <v>117</v>
      </c>
      <c r="D108" t="s">
        <v>12</v>
      </c>
      <c r="E108" t="s">
        <v>118</v>
      </c>
      <c r="F108" t="s">
        <v>6</v>
      </c>
      <c r="N108">
        <f>_xlfn.XLOOKUP(G108,[1]Hoja3!A:A,[1]Hoja3!E:E)</f>
        <v>0</v>
      </c>
    </row>
    <row r="109" spans="1:14" x14ac:dyDescent="0.35">
      <c r="A109" s="1" t="s">
        <v>119</v>
      </c>
      <c r="B109" t="s">
        <v>120</v>
      </c>
      <c r="D109" t="s">
        <v>118</v>
      </c>
      <c r="E109" t="s">
        <v>17</v>
      </c>
      <c r="F109" t="s">
        <v>6</v>
      </c>
      <c r="N109">
        <f>_xlfn.XLOOKUP(G109,[1]Hoja3!A:A,[1]Hoja3!E:E)</f>
        <v>0</v>
      </c>
    </row>
    <row r="110" spans="1:14" x14ac:dyDescent="0.35">
      <c r="A110" s="1" t="s">
        <v>121</v>
      </c>
      <c r="B110" t="s">
        <v>122</v>
      </c>
      <c r="D110" t="s">
        <v>12</v>
      </c>
      <c r="E110" t="s">
        <v>118</v>
      </c>
      <c r="F110" t="s">
        <v>6</v>
      </c>
      <c r="N110">
        <f>_xlfn.XLOOKUP(G110,[1]Hoja3!A:A,[1]Hoja3!E:E)</f>
        <v>0</v>
      </c>
    </row>
    <row r="111" spans="1:14" x14ac:dyDescent="0.35">
      <c r="A111" s="1" t="s">
        <v>123</v>
      </c>
      <c r="B111" t="s">
        <v>124</v>
      </c>
      <c r="D111" t="s">
        <v>118</v>
      </c>
      <c r="E111" t="s">
        <v>35</v>
      </c>
      <c r="F111" t="s">
        <v>6</v>
      </c>
      <c r="N111">
        <f>_xlfn.XLOOKUP(G111,[1]Hoja3!A:A,[1]Hoja3!E:E)</f>
        <v>0</v>
      </c>
    </row>
    <row r="112" spans="1:14" x14ac:dyDescent="0.35">
      <c r="A112" s="1" t="s">
        <v>125</v>
      </c>
      <c r="B112" t="s">
        <v>126</v>
      </c>
      <c r="D112" t="s">
        <v>12</v>
      </c>
      <c r="E112" t="s">
        <v>118</v>
      </c>
      <c r="F112" t="s">
        <v>6</v>
      </c>
      <c r="N112">
        <f>_xlfn.XLOOKUP(G112,[1]Hoja3!A:A,[1]Hoja3!E:E)</f>
        <v>0</v>
      </c>
    </row>
    <row r="113" spans="1:14" x14ac:dyDescent="0.35">
      <c r="A113" s="1" t="s">
        <v>127</v>
      </c>
      <c r="B113" t="s">
        <v>66</v>
      </c>
      <c r="C113" t="s">
        <v>128</v>
      </c>
      <c r="D113" t="s">
        <v>12</v>
      </c>
      <c r="E113" t="s">
        <v>118</v>
      </c>
      <c r="F113" t="s">
        <v>6</v>
      </c>
      <c r="N113">
        <f>_xlfn.XLOOKUP(G113,[1]Hoja3!A:A,[1]Hoja3!E:E)</f>
        <v>0</v>
      </c>
    </row>
    <row r="114" spans="1:14" x14ac:dyDescent="0.35">
      <c r="A114" s="1" t="s">
        <v>129</v>
      </c>
      <c r="B114" t="s">
        <v>130</v>
      </c>
      <c r="C114" t="s">
        <v>131</v>
      </c>
      <c r="D114" t="s">
        <v>12</v>
      </c>
      <c r="E114" t="s">
        <v>118</v>
      </c>
      <c r="F114" t="s">
        <v>6</v>
      </c>
      <c r="N114">
        <f>_xlfn.XLOOKUP(G114,[1]Hoja3!A:A,[1]Hoja3!E:E)</f>
        <v>0</v>
      </c>
    </row>
    <row r="115" spans="1:14" x14ac:dyDescent="0.35">
      <c r="A115" s="1" t="s">
        <v>132</v>
      </c>
      <c r="B115" t="s">
        <v>133</v>
      </c>
      <c r="D115" t="s">
        <v>12</v>
      </c>
      <c r="E115" t="s">
        <v>118</v>
      </c>
      <c r="F115" t="s">
        <v>6</v>
      </c>
      <c r="N115">
        <f>_xlfn.XLOOKUP(G115,[1]Hoja3!A:A,[1]Hoja3!E:E)</f>
        <v>0</v>
      </c>
    </row>
    <row r="116" spans="1:14" x14ac:dyDescent="0.35">
      <c r="A116" s="1" t="s">
        <v>132</v>
      </c>
      <c r="B116" t="s">
        <v>222</v>
      </c>
      <c r="D116" t="s">
        <v>12</v>
      </c>
      <c r="E116" t="s">
        <v>118</v>
      </c>
      <c r="F116" t="s">
        <v>6</v>
      </c>
      <c r="N116">
        <f>_xlfn.XLOOKUP(G116,[1]Hoja3!A:A,[1]Hoja3!E:E)</f>
        <v>0</v>
      </c>
    </row>
    <row r="117" spans="1:14" x14ac:dyDescent="0.35">
      <c r="A117" s="1" t="s">
        <v>134</v>
      </c>
      <c r="B117" t="s">
        <v>135</v>
      </c>
      <c r="D117" t="s">
        <v>118</v>
      </c>
      <c r="E117" t="s">
        <v>17</v>
      </c>
      <c r="F117" t="s">
        <v>6</v>
      </c>
      <c r="N117">
        <f>_xlfn.XLOOKUP(G117,[1]Hoja3!A:A,[1]Hoja3!E:E)</f>
        <v>0</v>
      </c>
    </row>
    <row r="118" spans="1:14" x14ac:dyDescent="0.35">
      <c r="A118" s="1" t="s">
        <v>136</v>
      </c>
      <c r="B118" t="s">
        <v>137</v>
      </c>
      <c r="D118" t="s">
        <v>12</v>
      </c>
      <c r="E118" t="s">
        <v>118</v>
      </c>
      <c r="F118" t="s">
        <v>6</v>
      </c>
      <c r="N118">
        <f>_xlfn.XLOOKUP(G118,[1]Hoja3!A:A,[1]Hoja3!E:E)</f>
        <v>0</v>
      </c>
    </row>
    <row r="119" spans="1:14" x14ac:dyDescent="0.35">
      <c r="A119" s="1" t="s">
        <v>151</v>
      </c>
      <c r="B119" t="s">
        <v>152</v>
      </c>
      <c r="D119" t="s">
        <v>12</v>
      </c>
      <c r="E119" t="s">
        <v>118</v>
      </c>
      <c r="F119" t="s">
        <v>6</v>
      </c>
      <c r="N119">
        <f>_xlfn.XLOOKUP(G119,[1]Hoja3!A:A,[1]Hoja3!E:E)</f>
        <v>0</v>
      </c>
    </row>
    <row r="120" spans="1:14" x14ac:dyDescent="0.35">
      <c r="A120" s="1" t="s">
        <v>138</v>
      </c>
      <c r="B120" t="s">
        <v>139</v>
      </c>
      <c r="C120" t="s">
        <v>140</v>
      </c>
      <c r="D120" t="s">
        <v>118</v>
      </c>
      <c r="E120" t="s">
        <v>17</v>
      </c>
      <c r="F120" t="s">
        <v>6</v>
      </c>
      <c r="N120">
        <f>_xlfn.XLOOKUP(G120,[1]Hoja3!A:A,[1]Hoja3!E:E)</f>
        <v>0</v>
      </c>
    </row>
    <row r="121" spans="1:14" x14ac:dyDescent="0.35">
      <c r="A121" s="1" t="s">
        <v>141</v>
      </c>
      <c r="B121" t="s">
        <v>142</v>
      </c>
      <c r="C121" t="s">
        <v>143</v>
      </c>
      <c r="D121" t="s">
        <v>4</v>
      </c>
      <c r="E121" t="s">
        <v>10</v>
      </c>
      <c r="F121" t="s">
        <v>6</v>
      </c>
      <c r="N121">
        <f>_xlfn.XLOOKUP(G121,[1]Hoja3!A:A,[1]Hoja3!E:E)</f>
        <v>0</v>
      </c>
    </row>
    <row r="122" spans="1:14" x14ac:dyDescent="0.35">
      <c r="A122" s="1" t="s">
        <v>144</v>
      </c>
      <c r="B122" t="s">
        <v>145</v>
      </c>
      <c r="D122" t="s">
        <v>12</v>
      </c>
      <c r="E122" t="s">
        <v>118</v>
      </c>
      <c r="F122" t="s">
        <v>6</v>
      </c>
      <c r="N122">
        <f>_xlfn.XLOOKUP(G122,[1]Hoja3!A:A,[1]Hoja3!E:E)</f>
        <v>0</v>
      </c>
    </row>
    <row r="123" spans="1:14" x14ac:dyDescent="0.35">
      <c r="A123" s="1" t="s">
        <v>223</v>
      </c>
      <c r="B123" t="s">
        <v>224</v>
      </c>
      <c r="D123" t="s">
        <v>12</v>
      </c>
      <c r="E123" t="s">
        <v>118</v>
      </c>
      <c r="F123" t="s">
        <v>6</v>
      </c>
      <c r="N123">
        <f>_xlfn.XLOOKUP(G123,[1]Hoja3!A:A,[1]Hoja3!E:E)</f>
        <v>0</v>
      </c>
    </row>
    <row r="124" spans="1:14" x14ac:dyDescent="0.35">
      <c r="A124" s="1" t="s">
        <v>146</v>
      </c>
      <c r="B124" t="s">
        <v>72</v>
      </c>
      <c r="C124" t="s">
        <v>73</v>
      </c>
      <c r="D124" t="s">
        <v>9</v>
      </c>
      <c r="E124" t="s">
        <v>13</v>
      </c>
      <c r="F124" t="s">
        <v>6</v>
      </c>
      <c r="N124">
        <f>_xlfn.XLOOKUP(G124,[1]Hoja3!A:A,[1]Hoja3!E:E)</f>
        <v>0</v>
      </c>
    </row>
    <row r="125" spans="1:14" x14ac:dyDescent="0.35">
      <c r="A125" s="1" t="s">
        <v>147</v>
      </c>
      <c r="B125" t="s">
        <v>148</v>
      </c>
      <c r="D125" t="s">
        <v>12</v>
      </c>
      <c r="E125" t="s">
        <v>118</v>
      </c>
      <c r="F125" t="s">
        <v>6</v>
      </c>
      <c r="N125">
        <f>_xlfn.XLOOKUP(G125,[1]Hoja3!A:A,[1]Hoja3!E:E)</f>
        <v>0</v>
      </c>
    </row>
    <row r="126" spans="1:14" x14ac:dyDescent="0.35">
      <c r="A126" s="1" t="s">
        <v>149</v>
      </c>
      <c r="B126" t="s">
        <v>150</v>
      </c>
      <c r="D126" t="s">
        <v>4</v>
      </c>
      <c r="E126" t="s">
        <v>118</v>
      </c>
      <c r="F126" t="s">
        <v>6</v>
      </c>
      <c r="N126">
        <f>_xlfn.XLOOKUP(G126,[1]Hoja3!A:A,[1]Hoja3!E:E)</f>
        <v>0</v>
      </c>
    </row>
    <row r="127" spans="1:14" x14ac:dyDescent="0.35">
      <c r="A127" s="1" t="s">
        <v>153</v>
      </c>
      <c r="B127" t="s">
        <v>154</v>
      </c>
      <c r="D127" t="s">
        <v>12</v>
      </c>
      <c r="E127" t="s">
        <v>118</v>
      </c>
      <c r="F127" t="s">
        <v>6</v>
      </c>
      <c r="N127">
        <f>_xlfn.XLOOKUP(G127,[1]Hoja3!A:A,[1]Hoja3!E:E)</f>
        <v>0</v>
      </c>
    </row>
    <row r="128" spans="1:14" x14ac:dyDescent="0.35">
      <c r="A128" s="1" t="s">
        <v>162</v>
      </c>
      <c r="B128" t="s">
        <v>54</v>
      </c>
      <c r="D128" t="s">
        <v>21</v>
      </c>
      <c r="E128" t="s">
        <v>118</v>
      </c>
      <c r="F128" t="s">
        <v>23</v>
      </c>
      <c r="N128">
        <f>_xlfn.XLOOKUP(G128,[1]Hoja3!A:A,[1]Hoja3!E:E)</f>
        <v>0</v>
      </c>
    </row>
    <row r="129" spans="1:14" x14ac:dyDescent="0.35">
      <c r="A129" s="1" t="s">
        <v>163</v>
      </c>
      <c r="B129" t="s">
        <v>164</v>
      </c>
      <c r="C129" t="s">
        <v>165</v>
      </c>
      <c r="D129" t="s">
        <v>21</v>
      </c>
      <c r="E129" t="s">
        <v>55</v>
      </c>
      <c r="F129" t="s">
        <v>23</v>
      </c>
      <c r="N129">
        <f>_xlfn.XLOOKUP(G129,[1]Hoja3!A:A,[1]Hoja3!E:E)</f>
        <v>0</v>
      </c>
    </row>
    <row r="130" spans="1:14" x14ac:dyDescent="0.35">
      <c r="A130" s="1" t="s">
        <v>159</v>
      </c>
      <c r="B130" t="s">
        <v>160</v>
      </c>
      <c r="C130" t="s">
        <v>161</v>
      </c>
      <c r="D130" t="s">
        <v>118</v>
      </c>
      <c r="E130" t="s">
        <v>118</v>
      </c>
      <c r="F130" t="s">
        <v>6</v>
      </c>
      <c r="N130">
        <f>_xlfn.XLOOKUP(G130,[1]Hoja3!A:A,[1]Hoja3!E:E)</f>
        <v>0</v>
      </c>
    </row>
    <row r="131" spans="1:14" x14ac:dyDescent="0.35">
      <c r="A131" s="1" t="s">
        <v>166</v>
      </c>
      <c r="B131" t="s">
        <v>167</v>
      </c>
      <c r="C131" t="s">
        <v>168</v>
      </c>
      <c r="D131" t="s">
        <v>21</v>
      </c>
      <c r="E131" t="s">
        <v>22</v>
      </c>
      <c r="F131" t="s">
        <v>23</v>
      </c>
      <c r="N131">
        <f>_xlfn.XLOOKUP(G131,[1]Hoja3!A:A,[1]Hoja3!E:E)</f>
        <v>0</v>
      </c>
    </row>
    <row r="132" spans="1:14" x14ac:dyDescent="0.35">
      <c r="A132" s="1" t="s">
        <v>169</v>
      </c>
      <c r="B132" t="s">
        <v>170</v>
      </c>
      <c r="C132" t="s">
        <v>171</v>
      </c>
      <c r="D132" t="s">
        <v>21</v>
      </c>
      <c r="E132" t="s">
        <v>22</v>
      </c>
      <c r="F132" t="s">
        <v>23</v>
      </c>
      <c r="N132">
        <f>_xlfn.XLOOKUP(G132,[1]Hoja3!A:A,[1]Hoja3!E:E)</f>
        <v>0</v>
      </c>
    </row>
    <row r="133" spans="1:14" x14ac:dyDescent="0.35">
      <c r="A133" s="1" t="s">
        <v>172</v>
      </c>
      <c r="B133" t="s">
        <v>173</v>
      </c>
      <c r="C133" t="s">
        <v>174</v>
      </c>
      <c r="D133" t="s">
        <v>21</v>
      </c>
      <c r="E133" t="s">
        <v>22</v>
      </c>
      <c r="F133" t="s">
        <v>23</v>
      </c>
      <c r="N133">
        <f>_xlfn.XLOOKUP(G133,[1]Hoja3!A:A,[1]Hoja3!E:E)</f>
        <v>0</v>
      </c>
    </row>
    <row r="134" spans="1:14" x14ac:dyDescent="0.35">
      <c r="A134" s="1" t="s">
        <v>175</v>
      </c>
      <c r="B134" t="s">
        <v>176</v>
      </c>
      <c r="C134" t="s">
        <v>177</v>
      </c>
      <c r="D134" t="s">
        <v>21</v>
      </c>
      <c r="E134" t="s">
        <v>22</v>
      </c>
      <c r="F134" t="s">
        <v>23</v>
      </c>
      <c r="N134">
        <f>_xlfn.XLOOKUP(G134,[1]Hoja3!A:A,[1]Hoja3!E:E)</f>
        <v>0</v>
      </c>
    </row>
    <row r="135" spans="1:14" x14ac:dyDescent="0.35">
      <c r="A135" s="1" t="s">
        <v>178</v>
      </c>
      <c r="B135" t="s">
        <v>179</v>
      </c>
      <c r="C135" t="s">
        <v>180</v>
      </c>
      <c r="D135" t="s">
        <v>21</v>
      </c>
      <c r="E135" t="s">
        <v>22</v>
      </c>
      <c r="F135" t="s">
        <v>23</v>
      </c>
      <c r="N135">
        <f>_xlfn.XLOOKUP(G135,[1]Hoja3!A:A,[1]Hoja3!E:E)</f>
        <v>0</v>
      </c>
    </row>
    <row r="136" spans="1:14" x14ac:dyDescent="0.35">
      <c r="A136" s="1" t="s">
        <v>181</v>
      </c>
      <c r="B136" t="s">
        <v>182</v>
      </c>
      <c r="C136" t="s">
        <v>183</v>
      </c>
      <c r="D136" t="s">
        <v>21</v>
      </c>
      <c r="E136" t="s">
        <v>22</v>
      </c>
      <c r="F136" t="s">
        <v>23</v>
      </c>
      <c r="N136">
        <f>_xlfn.XLOOKUP(G136,[1]Hoja3!A:A,[1]Hoja3!E:E)</f>
        <v>0</v>
      </c>
    </row>
    <row r="137" spans="1:14" x14ac:dyDescent="0.35">
      <c r="A137" s="1" t="s">
        <v>184</v>
      </c>
      <c r="B137" t="s">
        <v>185</v>
      </c>
      <c r="C137" t="s">
        <v>186</v>
      </c>
      <c r="D137" t="s">
        <v>21</v>
      </c>
      <c r="E137" t="s">
        <v>55</v>
      </c>
      <c r="F137" t="s">
        <v>23</v>
      </c>
      <c r="N137">
        <f>_xlfn.XLOOKUP(G137,[1]Hoja3!A:A,[1]Hoja3!E:E)</f>
        <v>0</v>
      </c>
    </row>
    <row r="138" spans="1:14" x14ac:dyDescent="0.35">
      <c r="A138" s="1" t="s">
        <v>187</v>
      </c>
      <c r="B138" t="s">
        <v>188</v>
      </c>
      <c r="C138" t="s">
        <v>189</v>
      </c>
      <c r="D138" t="s">
        <v>21</v>
      </c>
      <c r="E138" t="s">
        <v>55</v>
      </c>
      <c r="F138" t="s">
        <v>23</v>
      </c>
      <c r="N138">
        <f>_xlfn.XLOOKUP(G138,[1]Hoja3!A:A,[1]Hoja3!E:E)</f>
        <v>0</v>
      </c>
    </row>
    <row r="139" spans="1:14" x14ac:dyDescent="0.35">
      <c r="A139" s="1" t="s">
        <v>192</v>
      </c>
      <c r="B139" t="s">
        <v>193</v>
      </c>
      <c r="D139" t="s">
        <v>21</v>
      </c>
      <c r="E139" t="s">
        <v>22</v>
      </c>
      <c r="F139" t="s">
        <v>23</v>
      </c>
      <c r="N139">
        <f>_xlfn.XLOOKUP(G139,[1]Hoja3!A:A,[1]Hoja3!E:E)</f>
        <v>0</v>
      </c>
    </row>
    <row r="140" spans="1:14" x14ac:dyDescent="0.35">
      <c r="A140" s="1" t="s">
        <v>216</v>
      </c>
      <c r="B140" t="s">
        <v>217</v>
      </c>
      <c r="C140" t="s">
        <v>218</v>
      </c>
      <c r="D140" t="s">
        <v>21</v>
      </c>
      <c r="E140" t="s">
        <v>22</v>
      </c>
      <c r="F140" t="s">
        <v>23</v>
      </c>
      <c r="N140">
        <f>_xlfn.XLOOKUP(G140,[1]Hoja3!A:A,[1]Hoja3!E:E)</f>
        <v>0</v>
      </c>
    </row>
    <row r="141" spans="1:14" x14ac:dyDescent="0.35">
      <c r="A141" s="1" t="s">
        <v>219</v>
      </c>
      <c r="B141" t="s">
        <v>220</v>
      </c>
      <c r="C141" t="s">
        <v>221</v>
      </c>
      <c r="D141" t="s">
        <v>21</v>
      </c>
      <c r="E141" t="s">
        <v>22</v>
      </c>
      <c r="F141" t="s">
        <v>23</v>
      </c>
      <c r="N141">
        <f>_xlfn.XLOOKUP(G141,[1]Hoja3!A:A,[1]Hoja3!E:E)</f>
        <v>0</v>
      </c>
    </row>
    <row r="142" spans="1:14" x14ac:dyDescent="0.35">
      <c r="A142" s="1" t="s">
        <v>190</v>
      </c>
      <c r="B142" t="s">
        <v>191</v>
      </c>
      <c r="D142" t="s">
        <v>12</v>
      </c>
      <c r="E142" t="s">
        <v>118</v>
      </c>
      <c r="F142" t="s">
        <v>6</v>
      </c>
      <c r="N142">
        <f>_xlfn.XLOOKUP(G142,[1]Hoja3!A:A,[1]Hoja3!E:E)</f>
        <v>0</v>
      </c>
    </row>
    <row r="143" spans="1:14" x14ac:dyDescent="0.35">
      <c r="A143" s="1" t="s">
        <v>194</v>
      </c>
      <c r="B143" t="s">
        <v>195</v>
      </c>
      <c r="C143" t="s">
        <v>196</v>
      </c>
      <c r="D143" t="s">
        <v>15</v>
      </c>
      <c r="E143" t="s">
        <v>197</v>
      </c>
      <c r="F143" t="s">
        <v>6</v>
      </c>
      <c r="N143">
        <f>_xlfn.XLOOKUP(G143,[1]Hoja3!A:A,[1]Hoja3!E:E)</f>
        <v>0</v>
      </c>
    </row>
    <row r="144" spans="1:14" x14ac:dyDescent="0.35">
      <c r="A144" s="1" t="s">
        <v>198</v>
      </c>
      <c r="B144" t="s">
        <v>199</v>
      </c>
      <c r="C144" t="s">
        <v>200</v>
      </c>
      <c r="D144" t="s">
        <v>12</v>
      </c>
      <c r="E144" t="s">
        <v>22</v>
      </c>
      <c r="F144" t="s">
        <v>6</v>
      </c>
      <c r="N144">
        <f>_xlfn.XLOOKUP(G144,[1]Hoja3!A:A,[1]Hoja3!E:E)</f>
        <v>0</v>
      </c>
    </row>
    <row r="145" spans="1:14" x14ac:dyDescent="0.35">
      <c r="A145" s="1" t="s">
        <v>201</v>
      </c>
      <c r="B145" t="s">
        <v>202</v>
      </c>
      <c r="C145" t="s">
        <v>203</v>
      </c>
      <c r="D145" t="s">
        <v>9</v>
      </c>
      <c r="E145" t="s">
        <v>35</v>
      </c>
      <c r="F145" t="s">
        <v>6</v>
      </c>
      <c r="N145">
        <f>_xlfn.XLOOKUP(G145,[1]Hoja3!A:A,[1]Hoja3!E:E)</f>
        <v>0</v>
      </c>
    </row>
    <row r="146" spans="1:14" x14ac:dyDescent="0.35">
      <c r="A146" s="1" t="s">
        <v>204</v>
      </c>
      <c r="B146" t="s">
        <v>205</v>
      </c>
      <c r="C146" t="s">
        <v>206</v>
      </c>
      <c r="D146" t="s">
        <v>15</v>
      </c>
      <c r="E146" t="s">
        <v>10</v>
      </c>
      <c r="F146" t="s">
        <v>6</v>
      </c>
      <c r="N146">
        <f>_xlfn.XLOOKUP(G146,[1]Hoja3!A:A,[1]Hoja3!E:E)</f>
        <v>0</v>
      </c>
    </row>
    <row r="147" spans="1:14" x14ac:dyDescent="0.35">
      <c r="A147" s="1" t="s">
        <v>207</v>
      </c>
      <c r="B147" t="s">
        <v>208</v>
      </c>
      <c r="D147" t="s">
        <v>12</v>
      </c>
      <c r="E147" t="s">
        <v>118</v>
      </c>
      <c r="F147" t="s">
        <v>6</v>
      </c>
      <c r="N147">
        <f>_xlfn.XLOOKUP(G147,[1]Hoja3!A:A,[1]Hoja3!E:E)</f>
        <v>0</v>
      </c>
    </row>
    <row r="148" spans="1:14" x14ac:dyDescent="0.35">
      <c r="A148" s="1" t="s">
        <v>209</v>
      </c>
      <c r="B148" t="s">
        <v>210</v>
      </c>
      <c r="C148" t="s">
        <v>211</v>
      </c>
      <c r="D148" t="s">
        <v>230</v>
      </c>
      <c r="E148" t="s">
        <v>10</v>
      </c>
      <c r="F148" t="s">
        <v>6</v>
      </c>
      <c r="N148">
        <f>_xlfn.XLOOKUP(G148,[1]Hoja3!A:A,[1]Hoja3!E:E)</f>
        <v>0</v>
      </c>
    </row>
    <row r="149" spans="1:14" x14ac:dyDescent="0.35">
      <c r="A149" s="1" t="s">
        <v>212</v>
      </c>
      <c r="B149" t="s">
        <v>213</v>
      </c>
      <c r="D149" t="s">
        <v>12</v>
      </c>
      <c r="E149" t="s">
        <v>118</v>
      </c>
      <c r="F149" t="s">
        <v>6</v>
      </c>
      <c r="N149">
        <f>_xlfn.XLOOKUP(G149,[1]Hoja3!A:A,[1]Hoja3!E:E)</f>
        <v>0</v>
      </c>
    </row>
    <row r="150" spans="1:14" x14ac:dyDescent="0.35">
      <c r="A150" s="1" t="s">
        <v>227</v>
      </c>
      <c r="D150" t="s">
        <v>4</v>
      </c>
      <c r="E150" t="s">
        <v>229</v>
      </c>
      <c r="F150" t="s">
        <v>6</v>
      </c>
      <c r="N150">
        <f>_xlfn.XLOOKUP(G150,[1]Hoja3!A:A,[1]Hoja3!E:E)</f>
        <v>0</v>
      </c>
    </row>
    <row r="151" spans="1:14" x14ac:dyDescent="0.35">
      <c r="A151" s="1" t="s">
        <v>214</v>
      </c>
      <c r="B151" t="s">
        <v>215</v>
      </c>
      <c r="D151" t="s">
        <v>12</v>
      </c>
      <c r="E151" t="s">
        <v>118</v>
      </c>
      <c r="F151" t="s">
        <v>6</v>
      </c>
      <c r="N151">
        <f>_xlfn.XLOOKUP(G151,[1]Hoja3!A:A,[1]Hoja3!E:E)</f>
        <v>0</v>
      </c>
    </row>
    <row r="152" spans="1:14" x14ac:dyDescent="0.35">
      <c r="A152" s="1" t="s">
        <v>225</v>
      </c>
      <c r="B152" t="s">
        <v>226</v>
      </c>
      <c r="D152" t="s">
        <v>21</v>
      </c>
      <c r="E152" t="s">
        <v>118</v>
      </c>
      <c r="F152" t="s">
        <v>23</v>
      </c>
      <c r="N152">
        <f>_xlfn.XLOOKUP(G152,[1]Hoja3!A:A,[1]Hoja3!E:E)</f>
        <v>0</v>
      </c>
    </row>
    <row r="153" spans="1:14" x14ac:dyDescent="0.35">
      <c r="A153" s="1" t="s">
        <v>158</v>
      </c>
      <c r="B153" t="s">
        <v>76</v>
      </c>
      <c r="C153" t="s">
        <v>77</v>
      </c>
      <c r="D153" t="s">
        <v>12</v>
      </c>
      <c r="E153" t="s">
        <v>118</v>
      </c>
      <c r="F153" t="s">
        <v>6</v>
      </c>
      <c r="N153">
        <f>_xlfn.XLOOKUP(G153,[1]Hoja3!A:A,[1]Hoja3!E:E)</f>
        <v>0</v>
      </c>
    </row>
    <row r="154" spans="1:14" x14ac:dyDescent="0.35">
      <c r="A154" s="1"/>
      <c r="N154">
        <f>_xlfn.XLOOKUP(G154,[1]Hoja3!A:A,[1]Hoja3!E:E)</f>
        <v>0</v>
      </c>
    </row>
    <row r="155" spans="1:14" x14ac:dyDescent="0.35">
      <c r="A155" s="1"/>
      <c r="N155">
        <f>_xlfn.XLOOKUP(G155,[1]Hoja3!A:A,[1]Hoja3!E:E)</f>
        <v>0</v>
      </c>
    </row>
    <row r="156" spans="1:14" x14ac:dyDescent="0.35">
      <c r="A156" s="1"/>
      <c r="N156">
        <f>_xlfn.XLOOKUP(G156,[1]Hoja3!A:A,[1]Hoja3!E:E)</f>
        <v>0</v>
      </c>
    </row>
    <row r="157" spans="1:14" x14ac:dyDescent="0.35">
      <c r="A157" s="1"/>
      <c r="N157">
        <f>_xlfn.XLOOKUP(G157,[1]Hoja3!A:A,[1]Hoja3!E:E)</f>
        <v>0</v>
      </c>
    </row>
    <row r="158" spans="1:14" x14ac:dyDescent="0.35">
      <c r="A158" s="1"/>
      <c r="N158">
        <f>_xlfn.XLOOKUP(G158,[1]Hoja3!A:A,[1]Hoja3!E:E)</f>
        <v>0</v>
      </c>
    </row>
    <row r="159" spans="1:14" x14ac:dyDescent="0.35">
      <c r="A159" s="1"/>
      <c r="F159" t="s">
        <v>228</v>
      </c>
      <c r="N159">
        <f>_xlfn.XLOOKUP(G159,[1]Hoja3!A:A,[1]Hoja3!E:E)</f>
        <v>0</v>
      </c>
    </row>
    <row r="160" spans="1:14" x14ac:dyDescent="0.35">
      <c r="A160" s="1"/>
      <c r="N160">
        <f>_xlfn.XLOOKUP(G160,[1]Hoja3!A:A,[1]Hoja3!E:E)</f>
        <v>0</v>
      </c>
    </row>
    <row r="161" spans="1:14" x14ac:dyDescent="0.35">
      <c r="A161" s="1"/>
      <c r="N161">
        <f>_xlfn.XLOOKUP(G161,[1]Hoja3!A:A,[1]Hoja3!E:E)</f>
        <v>0</v>
      </c>
    </row>
    <row r="162" spans="1:14" x14ac:dyDescent="0.35">
      <c r="A162" s="1"/>
      <c r="N162">
        <f>_xlfn.XLOOKUP(G162,[1]Hoja3!A:A,[1]Hoja3!E:E)</f>
        <v>0</v>
      </c>
    </row>
    <row r="163" spans="1:14" x14ac:dyDescent="0.35">
      <c r="A163" s="1"/>
      <c r="N163">
        <f>_xlfn.XLOOKUP(G163,[1]Hoja3!A:A,[1]Hoja3!E:E)</f>
        <v>0</v>
      </c>
    </row>
    <row r="164" spans="1:14" x14ac:dyDescent="0.35">
      <c r="A164" s="1"/>
      <c r="N164">
        <f>_xlfn.XLOOKUP(G164,[1]Hoja3!A:A,[1]Hoja3!E:E)</f>
        <v>0</v>
      </c>
    </row>
    <row r="165" spans="1:14" x14ac:dyDescent="0.35">
      <c r="A165" s="1"/>
      <c r="N165">
        <f>_xlfn.XLOOKUP(G165,[1]Hoja3!A:A,[1]Hoja3!E:E)</f>
        <v>0</v>
      </c>
    </row>
    <row r="166" spans="1:14" x14ac:dyDescent="0.35">
      <c r="A166" s="1"/>
      <c r="N166">
        <f>_xlfn.XLOOKUP(G166,[1]Hoja3!A:A,[1]Hoja3!E:E)</f>
        <v>0</v>
      </c>
    </row>
    <row r="167" spans="1:14" x14ac:dyDescent="0.35">
      <c r="A167" s="1"/>
      <c r="N167">
        <f>_xlfn.XLOOKUP(G167,[1]Hoja3!A:A,[1]Hoja3!E:E)</f>
        <v>0</v>
      </c>
    </row>
    <row r="168" spans="1:14" x14ac:dyDescent="0.35">
      <c r="A168" s="1"/>
      <c r="N168">
        <f>_xlfn.XLOOKUP(G168,[1]Hoja3!A:A,[1]Hoja3!E:E)</f>
        <v>0</v>
      </c>
    </row>
    <row r="169" spans="1:14" x14ac:dyDescent="0.35">
      <c r="A169" s="1"/>
      <c r="N169">
        <f>_xlfn.XLOOKUP(G169,[1]Hoja3!A:A,[1]Hoja3!E:E)</f>
        <v>0</v>
      </c>
    </row>
    <row r="170" spans="1:14" x14ac:dyDescent="0.35">
      <c r="A170" s="1"/>
      <c r="N170">
        <f>_xlfn.XLOOKUP(G170,[1]Hoja3!A:A,[1]Hoja3!E:E)</f>
        <v>0</v>
      </c>
    </row>
    <row r="171" spans="1:14" x14ac:dyDescent="0.35">
      <c r="A171" s="1"/>
      <c r="D171" t="s">
        <v>228</v>
      </c>
      <c r="N171">
        <f>_xlfn.XLOOKUP(G171,[1]Hoja3!A:A,[1]Hoja3!E:E)</f>
        <v>0</v>
      </c>
    </row>
  </sheetData>
  <conditionalFormatting sqref="G1:G101">
    <cfRule type="duplicateValues" dxfId="1" priority="1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BRIAN ALEXANDER FUENTES</cp:lastModifiedBy>
  <dcterms:created xsi:type="dcterms:W3CDTF">2015-06-05T18:17:20Z</dcterms:created>
  <dcterms:modified xsi:type="dcterms:W3CDTF">2026-05-14T15:37:20Z</dcterms:modified>
</cp:coreProperties>
</file>